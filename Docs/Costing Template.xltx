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noj\OneDrive\5-Business\AI Agency\Clients\Homazing\Homazing Automated Quoting\Docs\"/>
    </mc:Choice>
  </mc:AlternateContent>
  <xr:revisionPtr revIDLastSave="0" documentId="8_{CAE82322-3649-42B7-89AF-8750B7CF65ED}" xr6:coauthVersionLast="47" xr6:coauthVersionMax="47" xr10:uidLastSave="{00000000-0000-0000-0000-000000000000}"/>
  <bookViews>
    <workbookView xWindow="-98" yWindow="-98" windowWidth="21795" windowHeight="12975" xr2:uid="{164FCFFA-A680-4605-A4E9-17B28D9C3F94}"/>
  </bookViews>
  <sheets>
    <sheet name="Quote Template" sheetId="1" r:id="rId1"/>
  </sheets>
  <definedNames>
    <definedName name="_xlnm.Print_Area" localSheetId="0">'Quote Template'!$A$1:$E$24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11" i="1"/>
  <c r="D10" i="1"/>
  <c r="D9" i="1"/>
  <c r="D8" i="1"/>
  <c r="D7" i="1"/>
  <c r="D6" i="1"/>
  <c r="D5" i="1"/>
  <c r="D4" i="1"/>
  <c r="D3" i="1"/>
  <c r="D16" i="1"/>
  <c r="D15" i="1"/>
  <c r="D14" i="1" l="1"/>
  <c r="D17" i="1"/>
  <c r="D19" i="1"/>
  <c r="D20" i="1" l="1"/>
</calcChain>
</file>

<file path=xl/sharedStrings.xml><?xml version="1.0" encoding="utf-8"?>
<sst xmlns="http://schemas.openxmlformats.org/spreadsheetml/2006/main" count="22" uniqueCount="22">
  <si>
    <t>Quotation Address</t>
  </si>
  <si>
    <t>Description</t>
  </si>
  <si>
    <t>Unit Cost</t>
  </si>
  <si>
    <t>Qty</t>
  </si>
  <si>
    <t>Total Cost</t>
  </si>
  <si>
    <t>Actual Cost</t>
  </si>
  <si>
    <t>Master Bedroom</t>
  </si>
  <si>
    <t>Guest Bedroom</t>
  </si>
  <si>
    <t>Living</t>
  </si>
  <si>
    <t>GST</t>
  </si>
  <si>
    <t>Dining</t>
  </si>
  <si>
    <t>Kitchen</t>
  </si>
  <si>
    <t>Alfresco</t>
  </si>
  <si>
    <t>Bath</t>
  </si>
  <si>
    <t>Hallway Table</t>
  </si>
  <si>
    <t>Study</t>
  </si>
  <si>
    <t>Small Living</t>
  </si>
  <si>
    <t>Sub Total</t>
  </si>
  <si>
    <t>Added percentage</t>
  </si>
  <si>
    <t>Reduced percentage</t>
  </si>
  <si>
    <t>Referral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</si>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</sst>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/>
    <xf numFmtId="164" fontId="0" fillId="0" borderId="0" xfId="1" applyNumberFormat="1" applyFont="1"/>
    <xf numFmtId="164" fontId="0" fillId="0" borderId="0" xfId="0" applyNumberFormat="1"/>
    <xf numFmtId="164" fontId="3" fillId="0" borderId="0" xfId="1" applyNumberFormat="1" applyFont="1"/>
    <xf numFmtId="0" fontId="0" fillId="0" borderId="0" xfId="0" applyAlignment="1">
      <alignment horizontal="center"/>
    </xf>
    <xf numFmtId="44" fontId="0" fillId="0" borderId="0" xfId="0" applyNumberFormat="1"/>
    <xf numFmtId="44" fontId="0" fillId="0" borderId="0" xfId="1" applyFont="1"/>
    <xf numFmtId="164" fontId="3" fillId="0" borderId="0" xfId="0" applyNumberFormat="1" applyFont="1"/>
    <xf numFmtId="9" fontId="0" fillId="0" borderId="0" xfId="0" applyNumberFormat="1"/>
    <xf numFmtId="9" fontId="0" fillId="0" borderId="0" xfId="2" applyFont="1"/>
    <xf numFmtId="0" fontId="2" fillId="0" borderId="0" xfId="0" applyFont="1" applyAlignment="1">
      <alignment horizontal="left" vertic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3188-3ED4-493F-97FF-1621D5E0AE6A}">
  <dimension ref="A1:I20"/>
  <sheetViews>
    <sheetView tabSelected="1" workbookViewId="0">
      <selection activeCell="H13" sqref="H13"/>
    </sheetView>
  </sheetViews>
  <sheetFormatPr defaultRowHeight="14.25" x14ac:dyDescent="0.45"/>
  <cols>
    <col min="1" max="1" width="21.53125" bestFit="1" customWidth="1"/>
    <col min="2" max="2" width="9" bestFit="1" customWidth="1"/>
    <col min="3" max="3" width="4.1328125" bestFit="1" customWidth="1"/>
    <col min="4" max="4" width="10.59765625" bestFit="1" customWidth="1"/>
    <col min="5" max="5" width="11.265625" customWidth="1"/>
    <col min="7" max="8" width="10.59765625" bestFit="1" customWidth="1"/>
  </cols>
  <sheetData>
    <row r="1" spans="1:9" s="2" customFormat="1" ht="32.25" customHeight="1" x14ac:dyDescent="0.45">
      <c r="A1" s="1" t="s">
        <v>0</v>
      </c>
      <c r="B1" s="13"/>
      <c r="C1" s="13"/>
      <c r="D1" s="13"/>
      <c r="E1" s="13"/>
    </row>
    <row r="2" spans="1:9" x14ac:dyDescent="0.45">
      <c r="A2" t="s">
        <v>1</v>
      </c>
      <c r="B2" t="s">
        <v>2</v>
      </c>
      <c r="C2" t="s">
        <v>3</v>
      </c>
      <c r="D2" t="s">
        <v>4</v>
      </c>
      <c r="E2" s="3" t="s">
        <v>5</v>
      </c>
    </row>
    <row r="3" spans="1:9" x14ac:dyDescent="0.45">
      <c r="A3" t="s">
        <v>6</v>
      </c>
      <c r="B3" s="4">
        <v>450</v>
      </c>
      <c r="D3" s="5">
        <f>B3*C3</f>
        <v>0</v>
      </c>
      <c r="E3" s="6">
        <v>450</v>
      </c>
    </row>
    <row r="4" spans="1:9" x14ac:dyDescent="0.45">
      <c r="A4" t="s">
        <v>7</v>
      </c>
      <c r="B4" s="4">
        <v>350</v>
      </c>
      <c r="D4" s="5">
        <f t="shared" ref="D4:D12" si="0">B4*C4</f>
        <v>0</v>
      </c>
      <c r="E4" s="6">
        <v>350</v>
      </c>
    </row>
    <row r="5" spans="1:9" x14ac:dyDescent="0.45">
      <c r="A5" t="s">
        <v>8</v>
      </c>
      <c r="B5" s="4">
        <v>450</v>
      </c>
      <c r="D5" s="5">
        <f t="shared" si="0"/>
        <v>0</v>
      </c>
      <c r="E5" s="6">
        <v>450</v>
      </c>
      <c r="G5" s="7"/>
      <c r="H5" s="7"/>
      <c r="I5" s="7"/>
    </row>
    <row r="6" spans="1:9" x14ac:dyDescent="0.45">
      <c r="A6" t="s">
        <v>10</v>
      </c>
      <c r="B6" s="4">
        <v>350</v>
      </c>
      <c r="D6" s="5">
        <f t="shared" si="0"/>
        <v>0</v>
      </c>
      <c r="E6" s="6">
        <v>350</v>
      </c>
      <c r="G6" s="8"/>
      <c r="H6" s="8"/>
      <c r="I6" s="8"/>
    </row>
    <row r="7" spans="1:9" x14ac:dyDescent="0.45">
      <c r="A7" t="s">
        <v>11</v>
      </c>
      <c r="B7" s="4">
        <v>100</v>
      </c>
      <c r="D7" s="5">
        <f t="shared" si="0"/>
        <v>0</v>
      </c>
      <c r="E7" s="6">
        <v>100</v>
      </c>
      <c r="G7" s="9"/>
      <c r="H7" s="8"/>
      <c r="I7" s="8"/>
    </row>
    <row r="8" spans="1:9" x14ac:dyDescent="0.45">
      <c r="A8" t="s">
        <v>12</v>
      </c>
      <c r="B8" s="4">
        <v>150</v>
      </c>
      <c r="D8" s="5">
        <f t="shared" si="0"/>
        <v>0</v>
      </c>
      <c r="E8" s="6">
        <v>100</v>
      </c>
      <c r="G8" s="9"/>
      <c r="H8" s="8"/>
      <c r="I8" s="8"/>
    </row>
    <row r="9" spans="1:9" x14ac:dyDescent="0.45">
      <c r="A9" t="s">
        <v>13</v>
      </c>
      <c r="B9" s="4">
        <v>50</v>
      </c>
      <c r="D9" s="5">
        <f t="shared" si="0"/>
        <v>0</v>
      </c>
      <c r="E9" s="6">
        <v>50</v>
      </c>
      <c r="G9" s="8"/>
      <c r="H9" s="8"/>
      <c r="I9" s="8"/>
    </row>
    <row r="10" spans="1:9" x14ac:dyDescent="0.45">
      <c r="A10" t="s">
        <v>14</v>
      </c>
      <c r="B10" s="4">
        <v>100</v>
      </c>
      <c r="D10" s="5">
        <f>B10*C10</f>
        <v>0</v>
      </c>
      <c r="E10" s="6">
        <v>100</v>
      </c>
    </row>
    <row r="11" spans="1:9" x14ac:dyDescent="0.45">
      <c r="A11" t="s">
        <v>15</v>
      </c>
      <c r="B11" s="4">
        <v>300</v>
      </c>
      <c r="D11" s="5">
        <f t="shared" si="0"/>
        <v>0</v>
      </c>
      <c r="E11" s="6">
        <v>300</v>
      </c>
    </row>
    <row r="12" spans="1:9" x14ac:dyDescent="0.45">
      <c r="A12" t="s">
        <v>16</v>
      </c>
      <c r="B12" s="4">
        <v>300</v>
      </c>
      <c r="D12" s="5">
        <f t="shared" si="0"/>
        <v>0</v>
      </c>
      <c r="E12" s="6">
        <v>300</v>
      </c>
    </row>
    <row r="13" spans="1:9" x14ac:dyDescent="0.45">
      <c r="E13" s="3"/>
    </row>
    <row r="14" spans="1:9" x14ac:dyDescent="0.45">
      <c r="A14" t="s">
        <v>17</v>
      </c>
      <c r="D14" s="5">
        <f>SUM(D3:D12)</f>
        <v>0</v>
      </c>
      <c r="E14" s="10"/>
    </row>
    <row r="15" spans="1:9" x14ac:dyDescent="0.45">
      <c r="A15" t="s">
        <v>18</v>
      </c>
      <c r="B15" s="11"/>
      <c r="D15" s="5">
        <f>IF(B15="",0,D14*B15)</f>
        <v>0</v>
      </c>
    </row>
    <row r="16" spans="1:9" x14ac:dyDescent="0.45">
      <c r="A16" t="s">
        <v>19</v>
      </c>
      <c r="B16" s="12"/>
      <c r="D16" s="5">
        <f>IF(B16="",0,D14*B16)</f>
        <v>0</v>
      </c>
    </row>
    <row r="17" spans="1:4" x14ac:dyDescent="0.45">
      <c r="A17" t="s">
        <v>20</v>
      </c>
      <c r="B17" s="12"/>
      <c r="D17" s="5">
        <f>IF(B17="",0,(D14+D15-D16)*B17)</f>
        <v>0</v>
      </c>
    </row>
    <row r="18" spans="1:4" x14ac:dyDescent="0.45">
      <c r="B18" s="12"/>
      <c r="D18" s="5"/>
    </row>
    <row r="19" spans="1:4" x14ac:dyDescent="0.45">
      <c r="A19" t="s">
        <v>21</v>
      </c>
      <c r="B19" s="12"/>
      <c r="D19" s="8">
        <f>MROUND(D14+D15-D16+D17,10)</f>
        <v>0</v>
      </c>
    </row>
    <row r="20" spans="1:4" x14ac:dyDescent="0.45">
      <c r="A20" t="s">
        <v>9</v>
      </c>
      <c r="D20" s="5">
        <f>D19/11</f>
        <v>0</v>
      </c>
    </row>
  </sheetData>
  <mergeCells count="1">
    <mergeCell ref="B1:E1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Quote Template</vt:lpstr>
      <vt:lpstr>'Quote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Devarajulu</dc:creator>
  <cp:lastModifiedBy>Manoj Devarajulu</cp:lastModifiedBy>
  <dcterms:created xsi:type="dcterms:W3CDTF">2025-05-17T10:49:42Z</dcterms:created>
  <dcterms:modified xsi:type="dcterms:W3CDTF">2026-04-27T11:40:45Z</dcterms:modified>
</cp:coreProperties>
</file>