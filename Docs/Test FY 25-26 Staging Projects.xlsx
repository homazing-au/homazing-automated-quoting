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58baebab4d4f29a9/5-Business/AI Agency/Homazing/"/>
    </mc:Choice>
  </mc:AlternateContent>
  <xr:revisionPtr revIDLastSave="1047" documentId="13_ncr:1_{F3A5D285-CE7C-48A2-90D9-750D96AADAE1}" xr6:coauthVersionLast="47" xr6:coauthVersionMax="47" xr10:uidLastSave="{BDDA52E6-E1F1-4A1D-A637-3BB771F09169}"/>
  <bookViews>
    <workbookView xWindow="-98" yWindow="-98" windowWidth="21795" windowHeight="12975" firstSheet="1" activeTab="1" xr2:uid="{00000000-000D-0000-FFFF-FFFF00000000}"/>
  </bookViews>
  <sheets>
    <sheet name="FY 25-26 Summary" sheetId="3" r:id="rId1"/>
    <sheet name="Costing" sheetId="4" r:id="rId2"/>
    <sheet name="Staging Jobs" sheetId="1" r:id="rId3"/>
    <sheet name="Master Price" sheetId="6" r:id="rId4"/>
    <sheet name="Transport Only" sheetId="2" r:id="rId5"/>
  </sheets>
  <definedNames>
    <definedName name="_xlnm._FilterDatabase" localSheetId="1" hidden="1">Costing!$A$1:$AI$21</definedName>
    <definedName name="_xlnm._FilterDatabase" localSheetId="2" hidden="1">'Staging Jobs'!$A$1:$AH$21</definedName>
    <definedName name="_xlnm.Print_Area" localSheetId="3">'Master Price'!$A$1:$J$23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" l="1"/>
  <c r="D14" i="6"/>
  <c r="D11" i="6"/>
  <c r="D10" i="6"/>
  <c r="D9" i="6"/>
  <c r="D8" i="6"/>
  <c r="J7" i="6"/>
  <c r="I7" i="6"/>
  <c r="H7" i="6"/>
  <c r="D7" i="6"/>
  <c r="H6" i="6"/>
  <c r="J6" i="6" s="1"/>
  <c r="D6" i="6"/>
  <c r="D5" i="6"/>
  <c r="D4" i="6"/>
  <c r="D3" i="6"/>
  <c r="D2" i="6"/>
  <c r="D13" i="6" l="1"/>
  <c r="D15" i="6"/>
  <c r="D18" i="6" s="1"/>
  <c r="I6" i="6"/>
  <c r="D19" i="6" l="1"/>
  <c r="H5" i="6"/>
  <c r="H15" i="6"/>
  <c r="H8" i="6" l="1"/>
  <c r="J5" i="6"/>
  <c r="J8" i="6" s="1"/>
  <c r="I5" i="6"/>
  <c r="I8" i="6" s="1"/>
  <c r="AC22" i="1"/>
  <c r="AE22" i="1" s="1"/>
  <c r="T22" i="1"/>
  <c r="U22" i="1" s="1"/>
  <c r="W22" i="1" s="1"/>
  <c r="I22" i="1"/>
  <c r="H22" i="1"/>
  <c r="H21" i="1"/>
  <c r="I21" i="1"/>
  <c r="AC21" i="1"/>
  <c r="AD21" i="1" s="1"/>
  <c r="AE21" i="1" s="1"/>
  <c r="AC20" i="1"/>
  <c r="AD20" i="1" s="1"/>
  <c r="AE20" i="1" s="1"/>
  <c r="W21" i="1"/>
  <c r="T21" i="1"/>
  <c r="U21" i="1" s="1"/>
  <c r="W19" i="1"/>
  <c r="T20" i="1"/>
  <c r="U20" i="1"/>
  <c r="W20" i="1" s="1"/>
  <c r="H20" i="1"/>
  <c r="I20" i="1"/>
  <c r="H8" i="2"/>
  <c r="I8" i="2" s="1"/>
  <c r="G8" i="2"/>
  <c r="B8" i="2"/>
  <c r="G6" i="2"/>
  <c r="H6" i="2" s="1"/>
  <c r="I6" i="2" s="1"/>
  <c r="B6" i="2"/>
  <c r="W16" i="1"/>
  <c r="AC17" i="1"/>
  <c r="AD17" i="1" s="1"/>
  <c r="AE17" i="1" s="1"/>
  <c r="AC18" i="1"/>
  <c r="AD18" i="1" s="1"/>
  <c r="AE18" i="1" s="1"/>
  <c r="AC19" i="1"/>
  <c r="AD19" i="1" s="1"/>
  <c r="AE19" i="1" s="1"/>
  <c r="T17" i="1"/>
  <c r="U17" i="1" s="1"/>
  <c r="W17" i="1" s="1"/>
  <c r="T18" i="1"/>
  <c r="U18" i="1" s="1"/>
  <c r="W18" i="1" s="1"/>
  <c r="T19" i="1"/>
  <c r="U19" i="1"/>
  <c r="H19" i="1"/>
  <c r="I19" i="1"/>
  <c r="I3" i="1" l="1"/>
  <c r="H18" i="1"/>
  <c r="I18" i="1"/>
  <c r="H17" i="1"/>
  <c r="I17" i="1"/>
  <c r="AC16" i="1" l="1"/>
  <c r="AD16" i="1" s="1"/>
  <c r="AE16" i="1" s="1"/>
  <c r="T16" i="1"/>
  <c r="U16" i="1"/>
  <c r="P10" i="1"/>
  <c r="P15" i="1"/>
  <c r="H16" i="1"/>
  <c r="I16" i="1"/>
  <c r="T15" i="1" l="1"/>
  <c r="U15" i="1"/>
  <c r="W15" i="1" s="1"/>
  <c r="H15" i="1"/>
  <c r="I15" i="1"/>
  <c r="P14" i="1" l="1"/>
  <c r="T14" i="1"/>
  <c r="U14" i="1" s="1"/>
  <c r="W14" i="1" s="1"/>
  <c r="H14" i="1"/>
  <c r="I14" i="1"/>
  <c r="AC10" i="1"/>
  <c r="AD10" i="1" s="1"/>
  <c r="AE10" i="1" s="1"/>
  <c r="T10" i="1"/>
  <c r="U10" i="1"/>
  <c r="W10" i="1"/>
  <c r="H10" i="1"/>
  <c r="I10" i="1"/>
  <c r="AC11" i="1"/>
  <c r="AD11" i="1" s="1"/>
  <c r="AE11" i="1" s="1"/>
  <c r="AC12" i="1"/>
  <c r="AD12" i="1" s="1"/>
  <c r="AE12" i="1" s="1"/>
  <c r="AC13" i="1"/>
  <c r="AD13" i="1"/>
  <c r="AE13" i="1" s="1"/>
  <c r="AC14" i="1"/>
  <c r="AD14" i="1" s="1"/>
  <c r="AE14" i="1" s="1"/>
  <c r="AD15" i="1"/>
  <c r="AE15" i="1" s="1"/>
  <c r="T13" i="1"/>
  <c r="U13" i="1" s="1"/>
  <c r="W13" i="1" s="1"/>
  <c r="H13" i="1"/>
  <c r="I13" i="1"/>
  <c r="P6" i="1"/>
  <c r="P7" i="1"/>
  <c r="P8" i="1"/>
  <c r="P9" i="1"/>
  <c r="P11" i="1"/>
  <c r="P12" i="1"/>
  <c r="P13" i="1"/>
  <c r="P2" i="1"/>
  <c r="P3" i="1"/>
  <c r="P4" i="1"/>
  <c r="T12" i="1" l="1"/>
  <c r="U12" i="1"/>
  <c r="W12" i="1" s="1"/>
  <c r="H12" i="1"/>
  <c r="I12" i="1"/>
  <c r="W11" i="1"/>
  <c r="T11" i="1"/>
  <c r="U11" i="1"/>
  <c r="H11" i="1"/>
  <c r="I11" i="1"/>
  <c r="AC9" i="1"/>
  <c r="AD9" i="1"/>
  <c r="AE9" i="1"/>
  <c r="T9" i="1"/>
  <c r="U9" i="1"/>
  <c r="W9" i="1" s="1"/>
  <c r="H9" i="1"/>
  <c r="I9" i="1"/>
  <c r="AC8" i="1" l="1"/>
  <c r="AD8" i="1"/>
  <c r="AE8" i="1"/>
  <c r="W8" i="1"/>
  <c r="T8" i="1"/>
  <c r="U8" i="1"/>
  <c r="H8" i="1"/>
  <c r="I8" i="1"/>
  <c r="B5" i="2"/>
  <c r="G5" i="2"/>
  <c r="H5" i="2" s="1"/>
  <c r="I5" i="2" s="1"/>
  <c r="B7" i="2"/>
  <c r="G7" i="2"/>
  <c r="I7" i="2"/>
  <c r="B9" i="2"/>
  <c r="G9" i="2"/>
  <c r="H9" i="2" s="1"/>
  <c r="I9" i="2" s="1"/>
  <c r="B10" i="2"/>
  <c r="G10" i="2"/>
  <c r="H10" i="2" s="1"/>
  <c r="I10" i="2" s="1"/>
  <c r="B11" i="2"/>
  <c r="G11" i="2"/>
  <c r="H11" i="2" s="1"/>
  <c r="I11" i="2" s="1"/>
  <c r="B12" i="2"/>
  <c r="G12" i="2"/>
  <c r="H12" i="2"/>
  <c r="I12" i="2" s="1"/>
  <c r="B13" i="2"/>
  <c r="G13" i="2"/>
  <c r="H13" i="2" s="1"/>
  <c r="I13" i="2" s="1"/>
  <c r="B14" i="2"/>
  <c r="G14" i="2"/>
  <c r="H14" i="2"/>
  <c r="I14" i="2"/>
  <c r="AC6" i="1"/>
  <c r="AD6" i="1" s="1"/>
  <c r="AE6" i="1" s="1"/>
  <c r="T6" i="1"/>
  <c r="U6" i="1" s="1"/>
  <c r="W6" i="1" s="1"/>
  <c r="H6" i="1"/>
  <c r="I6" i="1"/>
  <c r="I7" i="1"/>
  <c r="H5" i="1"/>
  <c r="H7" i="1"/>
  <c r="I5" i="1"/>
  <c r="AC4" i="1"/>
  <c r="AD4" i="1" s="1"/>
  <c r="AE4" i="1" s="1"/>
  <c r="AC3" i="1"/>
  <c r="AD3" i="1" s="1"/>
  <c r="AE3" i="1" s="1"/>
  <c r="AC2" i="1"/>
  <c r="AD2" i="1"/>
  <c r="AE2" i="1" s="1"/>
  <c r="T4" i="1"/>
  <c r="U4" i="1"/>
  <c r="W4" i="1" s="1"/>
  <c r="H4" i="1"/>
  <c r="I4" i="1"/>
  <c r="T3" i="1" l="1"/>
  <c r="U3" i="1"/>
  <c r="W3" i="1" s="1"/>
  <c r="H3" i="1" l="1"/>
  <c r="W2" i="1" l="1"/>
  <c r="T2" i="1"/>
  <c r="U2" i="1" s="1"/>
  <c r="H2" i="1"/>
  <c r="I2" i="1"/>
  <c r="B4" i="2"/>
  <c r="P5" i="1"/>
  <c r="T5" i="1"/>
  <c r="U5" i="1" l="1"/>
  <c r="W5" i="1" s="1"/>
  <c r="T7" i="1"/>
  <c r="U7" i="1" s="1"/>
  <c r="W7" i="1" s="1"/>
  <c r="AC7" i="1"/>
  <c r="AD7" i="1" s="1"/>
  <c r="AE7" i="1" s="1"/>
  <c r="AC5" i="1"/>
  <c r="AD5" i="1" s="1"/>
  <c r="AE5" i="1" s="1"/>
  <c r="G4" i="2"/>
  <c r="H4" i="2" s="1"/>
  <c r="I4" i="2" s="1"/>
  <c r="J2" i="3" l="1"/>
  <c r="B11" i="3"/>
  <c r="E6" i="3"/>
  <c r="F5" i="3"/>
  <c r="N5" i="3"/>
  <c r="F6" i="3"/>
  <c r="J5" i="3"/>
  <c r="M6" i="3"/>
  <c r="I6" i="3"/>
  <c r="K6" i="3"/>
  <c r="C5" i="3"/>
  <c r="G5" i="3"/>
  <c r="K5" i="3"/>
  <c r="D6" i="3"/>
  <c r="L6" i="3"/>
  <c r="H6" i="3"/>
  <c r="D5" i="3"/>
  <c r="H5" i="3"/>
  <c r="L5" i="3"/>
  <c r="C6" i="3"/>
  <c r="E5" i="3"/>
  <c r="I5" i="3"/>
  <c r="M5" i="3"/>
  <c r="N6" i="3"/>
  <c r="J6" i="3"/>
  <c r="F3" i="3"/>
  <c r="N3" i="3"/>
  <c r="J3" i="3"/>
  <c r="I3" i="3"/>
  <c r="E3" i="3"/>
  <c r="M3" i="3"/>
  <c r="H3" i="3"/>
  <c r="D3" i="3"/>
  <c r="L3" i="3"/>
  <c r="G3" i="3"/>
  <c r="C3" i="3"/>
  <c r="K3" i="3"/>
  <c r="G2" i="3"/>
  <c r="H4" i="3"/>
  <c r="H2" i="2"/>
  <c r="M2" i="3"/>
  <c r="I2" i="3"/>
  <c r="E2" i="3"/>
  <c r="C4" i="3"/>
  <c r="K4" i="3"/>
  <c r="F4" i="3"/>
  <c r="D2" i="3"/>
  <c r="L2" i="3"/>
  <c r="H2" i="3"/>
  <c r="N4" i="3"/>
  <c r="J4" i="3"/>
  <c r="E4" i="3"/>
  <c r="C2" i="3"/>
  <c r="K2" i="3"/>
  <c r="M4" i="3"/>
  <c r="I4" i="3"/>
  <c r="D4" i="3"/>
  <c r="N2" i="3"/>
  <c r="F2" i="3"/>
  <c r="L4" i="3"/>
  <c r="G6" i="3"/>
  <c r="G4" i="3"/>
  <c r="E8" i="3" l="1"/>
  <c r="E9" i="3" s="1"/>
  <c r="H8" i="3"/>
  <c r="H9" i="3" s="1"/>
  <c r="K8" i="3"/>
  <c r="K9" i="3" s="1"/>
  <c r="J8" i="3"/>
  <c r="J9" i="3" s="1"/>
  <c r="G8" i="3"/>
  <c r="G9" i="3" s="1"/>
  <c r="N8" i="3"/>
  <c r="N9" i="3" s="1"/>
  <c r="C8" i="3"/>
  <c r="C9" i="3" s="1"/>
  <c r="I8" i="3"/>
  <c r="I9" i="3" s="1"/>
  <c r="M8" i="3"/>
  <c r="M9" i="3" s="1"/>
  <c r="L8" i="3"/>
  <c r="L9" i="3" s="1"/>
  <c r="F8" i="3"/>
  <c r="F9" i="3" s="1"/>
  <c r="D8" i="3"/>
  <c r="D9" i="3" s="1"/>
  <c r="B2" i="3"/>
  <c r="B6" i="3"/>
  <c r="B4" i="3"/>
  <c r="B3" i="3"/>
  <c r="B5" i="3"/>
  <c r="B8" i="3" l="1"/>
  <c r="B9" i="3" s="1"/>
</calcChain>
</file>

<file path=xl/sharedStrings.xml><?xml version="1.0" encoding="utf-8"?>
<sst xmlns="http://schemas.openxmlformats.org/spreadsheetml/2006/main" count="498" uniqueCount="155">
  <si>
    <t>Total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</si>
  <si>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</si>
  <si>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</si>
  <si>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</si>
  <si>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</si>
  <si>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</si>
  <si>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</si>
  <si>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</si>
  <si>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</si>
  <si>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</si>
  <si>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</si>
  <si>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</si>
  <si>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</si>
  <si>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No. of Jobs</t>
  </si>
  <si>
    <t xml:space="preserve">Gross Invoice (incl. GST) </t>
  </si>
  <si>
    <t>Transport (incl. GST)</t>
  </si>
  <si>
    <t>Total GST</t>
  </si>
  <si>
    <t>Total Referral Paid</t>
  </si>
  <si>
    <t>Net Sales</t>
  </si>
  <si>
    <t>Transport yet to be Paid</t>
  </si>
  <si>
    <t>Quote
No</t>
  </si>
  <si>
    <t>Address</t>
  </si>
  <si>
    <t>Suburb</t>
  </si>
  <si>
    <t>Client
Name</t>
  </si>
  <si>
    <t>Agent
Name</t>
  </si>
  <si>
    <t>Agent</t>
  </si>
  <si>
    <t>Master 
Bedroom</t>
  </si>
  <si>
    <t>Guest
Bedroom</t>
  </si>
  <si>
    <t>Living</t>
  </si>
  <si>
    <t>Dining</t>
  </si>
  <si>
    <t>Kitchen</t>
  </si>
  <si>
    <t>Alfresco</t>
  </si>
  <si>
    <t>Bath</t>
  </si>
  <si>
    <t>Hallway Table</t>
  </si>
  <si>
    <t>Study</t>
  </si>
  <si>
    <t>Small Living</t>
  </si>
  <si>
    <t>Sold in
Weeks</t>
  </si>
  <si>
    <t>Payment
Type</t>
  </si>
  <si>
    <t>invoice
Paid
(Y/N)</t>
  </si>
  <si>
    <t>Gross</t>
  </si>
  <si>
    <t>GST</t>
  </si>
  <si>
    <t>Net</t>
  </si>
  <si>
    <t>Referral
(Y/N)</t>
  </si>
  <si>
    <t>Referral
Amount</t>
  </si>
  <si>
    <t>Referral
Paid</t>
  </si>
  <si>
    <t>Truck</t>
  </si>
  <si>
    <t>Time In</t>
  </si>
  <si>
    <t>Time Out</t>
  </si>
  <si>
    <t>Call Out
Fee</t>
  </si>
  <si>
    <t>Total
Hours</t>
  </si>
  <si>
    <t>Paid</t>
  </si>
  <si>
    <t>Invoice
No,</t>
  </si>
  <si>
    <t>Comments</t>
  </si>
  <si>
    <t>80 Lakewood Bvd</t>
  </si>
  <si>
    <t>Melton</t>
  </si>
  <si>
    <t>Aman Sandhu</t>
  </si>
  <si>
    <t>YPA, Point Cook</t>
  </si>
  <si>
    <t>6 Hutchison Rd</t>
  </si>
  <si>
    <t>Mambourin</t>
  </si>
  <si>
    <t>Amit Yadhav</t>
  </si>
  <si>
    <t>Engage Real Estate</t>
  </si>
  <si>
    <t>2/2 Manoon Rd</t>
  </si>
  <si>
    <t>Clayton South</t>
  </si>
  <si>
    <t>Michael Renzella</t>
  </si>
  <si>
    <t>Ray White, Clayton</t>
  </si>
  <si>
    <t>2/16 Risdon Drive</t>
  </si>
  <si>
    <t>Notting Hill</t>
  </si>
  <si>
    <t>12 Hardy Ct</t>
  </si>
  <si>
    <t>Oakleigh South</t>
  </si>
  <si>
    <t>Elroy Malowney</t>
  </si>
  <si>
    <t>Ray White, Oakleigh</t>
  </si>
  <si>
    <t>10 Hound St</t>
  </si>
  <si>
    <t>Wyndham Vale</t>
  </si>
  <si>
    <t>Mahesh Krishna</t>
  </si>
  <si>
    <t>Eview Real Estate</t>
  </si>
  <si>
    <t>6 Kinglake Dr</t>
  </si>
  <si>
    <t>Manor Lakes</t>
  </si>
  <si>
    <t>2/59 Jaguar Dr</t>
  </si>
  <si>
    <t>Clayton</t>
  </si>
  <si>
    <t>42 Jackson Green Bvd</t>
  </si>
  <si>
    <t>Jie Zhou</t>
  </si>
  <si>
    <t xml:space="preserve">401 Maracana Ave </t>
  </si>
  <si>
    <t>2/32 Alice St</t>
  </si>
  <si>
    <t>2/2 Stewart Rd</t>
  </si>
  <si>
    <t>Oakleigh East</t>
  </si>
  <si>
    <t>2/47 Margaret St</t>
  </si>
  <si>
    <t>4b Thompson St</t>
  </si>
  <si>
    <t>17/194 Alma Rd</t>
  </si>
  <si>
    <t>St. Kilda East</t>
  </si>
  <si>
    <t>Melanie Walden</t>
  </si>
  <si>
    <t>McGrath Estate Agents</t>
  </si>
  <si>
    <t>5/1254 Centre Rd</t>
  </si>
  <si>
    <t>Shanky Walia</t>
  </si>
  <si>
    <t>7 Kitson Rd</t>
  </si>
  <si>
    <t>30 Landing Place</t>
  </si>
  <si>
    <t>Point Cook</t>
  </si>
  <si>
    <t xml:space="preserve">Luke </t>
  </si>
  <si>
    <t>CHN Real Estate</t>
  </si>
  <si>
    <t>11 Melaleuca Dr</t>
  </si>
  <si>
    <t>Clarinda</t>
  </si>
  <si>
    <t>53 Minindee Rd</t>
  </si>
  <si>
    <t>1/18 Wordsworth Ave</t>
  </si>
  <si>
    <t>No. of
Jobs</t>
  </si>
  <si>
    <t>Staged
Date</t>
  </si>
  <si>
    <t>Advertised
Date</t>
  </si>
  <si>
    <t>Month</t>
  </si>
  <si>
    <t>Proposed Project
Completion
Date</t>
  </si>
  <si>
    <t>Staging 
Removed
Date</t>
  </si>
  <si>
    <t>Auction/
Private 
Sale</t>
  </si>
  <si>
    <t>Auction/
Sold Date</t>
  </si>
  <si>
    <t>Price
Min</t>
  </si>
  <si>
    <t>Price
Max</t>
  </si>
  <si>
    <t>Sold
Price</t>
  </si>
  <si>
    <t>Private</t>
  </si>
  <si>
    <t>EFT</t>
  </si>
  <si>
    <t>Y</t>
  </si>
  <si>
    <t>N</t>
  </si>
  <si>
    <t>Small</t>
  </si>
  <si>
    <t>00223</t>
  </si>
  <si>
    <t>Rate/hr</t>
  </si>
  <si>
    <t>Auction</t>
  </si>
  <si>
    <t>Transported together with 10 Hound St, Wyndham Vale</t>
  </si>
  <si>
    <t>00226</t>
  </si>
  <si>
    <t>Cash</t>
  </si>
  <si>
    <t>Transport together with Stewart Rd</t>
  </si>
  <si>
    <t>Transport together with Centre Rd</t>
  </si>
  <si>
    <t>Gagan Transport</t>
  </si>
  <si>
    <t>Description</t>
  </si>
  <si>
    <t>Unit Cost</t>
  </si>
  <si>
    <t>Qty</t>
  </si>
  <si>
    <t>Total Cost</t>
  </si>
  <si>
    <t>Actual Cost</t>
  </si>
  <si>
    <t>Master Bedroom</t>
  </si>
  <si>
    <t>Guest Bedroom</t>
  </si>
  <si>
    <t>Incl GST</t>
  </si>
  <si>
    <t>Excl. GST</t>
  </si>
  <si>
    <t>Furniture Rental</t>
  </si>
  <si>
    <t>Design &amp; Installation Charges</t>
  </si>
  <si>
    <t>House</t>
  </si>
  <si>
    <t>Transport (Delivery and Pickup)</t>
  </si>
  <si>
    <t>Large</t>
  </si>
  <si>
    <t>Total Rental Rate</t>
  </si>
  <si>
    <t>Sub Total</t>
  </si>
  <si>
    <t>Required Amount</t>
  </si>
  <si>
    <t>Added percentage</t>
  </si>
  <si>
    <t>Reduced percentage</t>
  </si>
  <si>
    <t>Referral</t>
  </si>
  <si>
    <t>Total Paid</t>
  </si>
  <si>
    <t>Date</t>
  </si>
  <si>
    <t>Invoice
No.</t>
  </si>
  <si>
    <t>Notes</t>
  </si>
  <si>
    <t>Big</t>
  </si>
  <si>
    <t>Racking delivery</t>
  </si>
  <si>
    <t>Removed 2/16 Risdon Dr</t>
  </si>
  <si>
    <t>Delivered the rack and moved one load from Springvale to Clayton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</si>
</sst>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[$-F400]h:mm:ss\ AM/PM"/>
    <numFmt numFmtId="167" formatCode="dd/mm/yyyy;@"/>
    <numFmt numFmtId="168" formatCode="[$]dd/mm/yyyy;@" x16r2:formatCode16="[$-en-AT,1]dd/mm/yyyy;@"/>
    <numFmt numFmtId="169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" fontId="0" fillId="0" borderId="0" xfId="1" applyNumberFormat="1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65" fontId="0" fillId="0" borderId="0" xfId="1" applyNumberFormat="1" applyFont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 vertical="top" wrapText="1"/>
    </xf>
    <xf numFmtId="166" fontId="0" fillId="0" borderId="0" xfId="0" applyNumberFormat="1"/>
    <xf numFmtId="166" fontId="0" fillId="0" borderId="0" xfId="0" applyNumberFormat="1" applyAlignment="1">
      <alignment horizontal="center" vertical="top"/>
    </xf>
    <xf numFmtId="20" fontId="0" fillId="0" borderId="0" xfId="0" applyNumberFormat="1"/>
    <xf numFmtId="16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top" wrapText="1"/>
    </xf>
    <xf numFmtId="166" fontId="0" fillId="0" borderId="0" xfId="0" applyNumberFormat="1" applyAlignment="1">
      <alignment horizontal="center" vertical="top" wrapText="1"/>
    </xf>
    <xf numFmtId="164" fontId="0" fillId="0" borderId="0" xfId="1" applyFont="1"/>
    <xf numFmtId="164" fontId="0" fillId="0" borderId="0" xfId="1" applyFont="1" applyAlignment="1">
      <alignment horizontal="center" vertical="top" wrapText="1"/>
    </xf>
    <xf numFmtId="49" fontId="0" fillId="0" borderId="0" xfId="0" applyNumberFormat="1"/>
    <xf numFmtId="49" fontId="0" fillId="0" borderId="0" xfId="0" applyNumberFormat="1" applyAlignment="1">
      <alignment horizontal="center" vertical="top" wrapText="1"/>
    </xf>
    <xf numFmtId="20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49" fontId="0" fillId="0" borderId="0" xfId="0" applyNumberFormat="1" applyAlignment="1">
      <alignment horizontal="left" vertical="top" wrapText="1"/>
    </xf>
    <xf numFmtId="165" fontId="2" fillId="2" borderId="1" xfId="1" applyNumberFormat="1" applyFont="1" applyFill="1" applyBorder="1" applyAlignment="1">
      <alignment vertical="center"/>
    </xf>
    <xf numFmtId="14" fontId="0" fillId="0" borderId="0" xfId="0" applyNumberFormat="1" applyAlignment="1">
      <alignment horizontal="center" vertical="top" wrapText="1"/>
    </xf>
    <xf numFmtId="1" fontId="2" fillId="2" borderId="1" xfId="1" applyNumberFormat="1" applyFont="1" applyFill="1" applyBorder="1" applyAlignment="1">
      <alignment horizontal="right" vertical="center" indent="1"/>
    </xf>
    <xf numFmtId="9" fontId="0" fillId="0" borderId="0" xfId="2" applyFont="1"/>
    <xf numFmtId="167" fontId="0" fillId="0" borderId="0" xfId="0" applyNumberFormat="1"/>
    <xf numFmtId="167" fontId="0" fillId="0" borderId="0" xfId="0" applyNumberFormat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right" vertical="center" indent="1"/>
    </xf>
    <xf numFmtId="165" fontId="0" fillId="3" borderId="1" xfId="1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right" vertical="center" indent="1"/>
    </xf>
    <xf numFmtId="165" fontId="0" fillId="4" borderId="1" xfId="1" applyNumberFormat="1" applyFont="1" applyFill="1" applyBorder="1" applyAlignment="1">
      <alignment vertical="center"/>
    </xf>
    <xf numFmtId="168" fontId="0" fillId="0" borderId="0" xfId="0" applyNumberFormat="1"/>
    <xf numFmtId="168" fontId="0" fillId="0" borderId="0" xfId="0" applyNumberFormat="1" applyAlignment="1">
      <alignment vertical="top"/>
    </xf>
    <xf numFmtId="0" fontId="4" fillId="0" borderId="0" xfId="0" applyFont="1"/>
    <xf numFmtId="165" fontId="0" fillId="0" borderId="0" xfId="0" applyNumberFormat="1"/>
    <xf numFmtId="165" fontId="4" fillId="0" borderId="0" xfId="1" applyNumberFormat="1" applyFont="1"/>
    <xf numFmtId="164" fontId="0" fillId="0" borderId="0" xfId="0" applyNumberFormat="1"/>
    <xf numFmtId="165" fontId="4" fillId="0" borderId="0" xfId="0" applyNumberFormat="1" applyFont="1"/>
    <xf numFmtId="9" fontId="0" fillId="0" borderId="0" xfId="0" applyNumberFormat="1"/>
    <xf numFmtId="169" fontId="0" fillId="0" borderId="0" xfId="2" applyNumberFormat="1" applyFont="1"/>
    <xf numFmtId="0" fontId="0" fillId="0" borderId="0" xfId="0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ABC5-C6EF-4F69-B219-4CEE68FAAB40}">
  <dimension ref="A1:N16"/>
  <sheetViews>
    <sheetView zoomScaleNormal="100" workbookViewId="0">
      <selection activeCell="D28" sqref="D28"/>
    </sheetView>
  </sheetViews>
  <sheetFormatPr defaultRowHeight="14.25"/>
  <cols>
    <col min="1" max="1" width="22.85546875" bestFit="1" customWidth="1"/>
    <col min="2" max="2" width="10.7109375" customWidth="1"/>
    <col min="3" max="5" width="8.42578125" bestFit="1" customWidth="1"/>
    <col min="6" max="6" width="9" bestFit="1" customWidth="1"/>
    <col min="7" max="14" width="9" customWidth="1"/>
    <col min="15" max="15" width="13.7109375" bestFit="1" customWidth="1"/>
  </cols>
  <sheetData>
    <row r="1" spans="1:14" s="24" customFormat="1">
      <c r="A1" s="23"/>
      <c r="B1" s="23" t="s">
        <v>0</v>
      </c>
      <c r="C1" s="32" t="s">
        <v>1</v>
      </c>
      <c r="D1" s="35" t="s">
        <v>2</v>
      </c>
      <c r="E1" s="32" t="s">
        <v>3</v>
      </c>
      <c r="F1" s="35" t="s">
        <v>4</v>
      </c>
      <c r="G1" s="32" t="s">
        <v>5</v>
      </c>
      <c r="H1" s="35" t="s">
        <v>6</v>
      </c>
      <c r="I1" s="32" t="s">
        <v>7</v>
      </c>
      <c r="J1" s="35" t="s">
        <v>8</v>
      </c>
      <c r="K1" s="32" t="s">
        <v>9</v>
      </c>
      <c r="L1" s="35" t="s">
        <v>10</v>
      </c>
      <c r="M1" s="32" t="s">
        <v>11</v>
      </c>
      <c r="N1" s="35" t="s">
        <v>12</v>
      </c>
    </row>
    <row r="2" spans="1:14" s="21" customFormat="1">
      <c r="A2" s="22" t="s">
        <v>13</v>
      </c>
      <c r="B2" s="28">
        <f>SUM(C2:N2)</f>
        <v>21</v>
      </c>
      <c r="C2" s="33">
        <f>COUNTIF('Staging Jobs'!$H$2:$H$58,C$1)</f>
        <v>8</v>
      </c>
      <c r="D2" s="36">
        <f>COUNTIF('Staging Jobs'!$H$2:$H$58,D$1)</f>
        <v>6</v>
      </c>
      <c r="E2" s="33">
        <f>COUNTIF('Staging Jobs'!$H$2:$H$58,E$1)</f>
        <v>5</v>
      </c>
      <c r="F2" s="36">
        <f>COUNTIF('Staging Jobs'!$H$2:$H$58,F$1)</f>
        <v>2</v>
      </c>
      <c r="G2" s="33">
        <f>COUNTIF('Staging Jobs'!$H$2:$H$58,G$1)</f>
        <v>0</v>
      </c>
      <c r="H2" s="36">
        <f>COUNTIF('Staging Jobs'!$H$2:$H$58,H$1)</f>
        <v>0</v>
      </c>
      <c r="I2" s="33">
        <f>COUNTIF('Staging Jobs'!$H$2:$H$58,I$1)</f>
        <v>0</v>
      </c>
      <c r="J2" s="36">
        <f>COUNTIF('Staging Jobs'!$H$2:$H$58,J$1)</f>
        <v>0</v>
      </c>
      <c r="K2" s="33">
        <f>COUNTIF('Staging Jobs'!$H$2:$H$58,K$1)</f>
        <v>0</v>
      </c>
      <c r="L2" s="36">
        <f>COUNTIF('Staging Jobs'!$H$2:$H$58,L$1)</f>
        <v>0</v>
      </c>
      <c r="M2" s="33">
        <f>COUNTIF('Staging Jobs'!$H$2:$H$58,M$1)</f>
        <v>0</v>
      </c>
      <c r="N2" s="36">
        <f>COUNTIF('Staging Jobs'!$H$2:$H$58,N$1)</f>
        <v>0</v>
      </c>
    </row>
    <row r="3" spans="1:14" s="21" customFormat="1">
      <c r="A3" s="22" t="s">
        <v>14</v>
      </c>
      <c r="B3" s="26">
        <f>SUM(C3:N3)</f>
        <v>60149.5</v>
      </c>
      <c r="C3" s="34">
        <f>SUMIFS('Staging Jobs'!$S$2:$S$58,'Staging Jobs'!$H$2:$H$58,C$1,'Staging Jobs'!$R$2:$R$58,"Y")</f>
        <v>24230</v>
      </c>
      <c r="D3" s="37">
        <f>SUMIFS('Staging Jobs'!$S$2:$S$58,'Staging Jobs'!$H$2:$H$58,D$1,'Staging Jobs'!$R$2:$R$58,"Y")</f>
        <v>15420</v>
      </c>
      <c r="E3" s="34">
        <f>SUMIFS('Staging Jobs'!$S$2:$S$58,'Staging Jobs'!$H$2:$H$58,E$1,'Staging Jobs'!$R$2:$R$58,"Y")</f>
        <v>16999.5</v>
      </c>
      <c r="F3" s="37">
        <f>SUMIFS('Staging Jobs'!$S$2:$S$58,'Staging Jobs'!$H$2:$H$58,F$1,'Staging Jobs'!$R$2:$R$58,"Y")</f>
        <v>3500</v>
      </c>
      <c r="G3" s="34">
        <f>SUMIFS('Staging Jobs'!$S$2:$S$58,'Staging Jobs'!$H$2:$H$58,G$1,'Staging Jobs'!$R$2:$R$58,"Y")</f>
        <v>0</v>
      </c>
      <c r="H3" s="37">
        <f>SUMIFS('Staging Jobs'!$S$2:$S$58,'Staging Jobs'!$H$2:$H$58,H$1,'Staging Jobs'!$R$2:$R$58,"Y")</f>
        <v>0</v>
      </c>
      <c r="I3" s="34">
        <f>SUMIFS('Staging Jobs'!$S$2:$S$58,'Staging Jobs'!$H$2:$H$58,I$1,'Staging Jobs'!$R$2:$R$58,"Y")</f>
        <v>0</v>
      </c>
      <c r="J3" s="37">
        <f>SUMIFS('Staging Jobs'!$S$2:$S$58,'Staging Jobs'!$H$2:$H$58,J$1,'Staging Jobs'!$R$2:$R$58,"Y")</f>
        <v>0</v>
      </c>
      <c r="K3" s="34">
        <f>SUMIFS('Staging Jobs'!$S$2:$S$58,'Staging Jobs'!$H$2:$H$58,K$1,'Staging Jobs'!$R$2:$R$58,"Y")</f>
        <v>0</v>
      </c>
      <c r="L3" s="37">
        <f>SUMIFS('Staging Jobs'!$S$2:$S$58,'Staging Jobs'!$H$2:$H$58,L$1,'Staging Jobs'!$R$2:$R$58,"Y")</f>
        <v>0</v>
      </c>
      <c r="M3" s="34">
        <f>SUMIFS('Staging Jobs'!$S$2:$S$58,'Staging Jobs'!$H$2:$H$58,M$1,'Staging Jobs'!$R$2:$R$58,"Y")</f>
        <v>0</v>
      </c>
      <c r="N3" s="37">
        <f>SUMIFS('Staging Jobs'!$S$2:$S$58,'Staging Jobs'!$H$2:$H$58,N$1,'Staging Jobs'!$R$2:$R$58,"Y")</f>
        <v>0</v>
      </c>
    </row>
    <row r="4" spans="1:14" s="21" customFormat="1">
      <c r="A4" s="22" t="s">
        <v>15</v>
      </c>
      <c r="B4" s="26">
        <f>SUM(C4:N4)</f>
        <v>10179</v>
      </c>
      <c r="C4" s="34">
        <f>SUMIF('Staging Jobs'!$H$2:$H$58,C$1,'Staging Jobs'!$AD$2:$AD$58)+
SUMIF('Transport Only'!$B$4:$B$102,C$1,'Transport Only'!$H$4:$H$102)</f>
        <v>3817.0000000000009</v>
      </c>
      <c r="D4" s="37">
        <f>SUMIF('Staging Jobs'!$H$2:$H$58,D$1,'Staging Jobs'!$AD$2:$AD$58)+
SUMIF('Transport Only'!$B$4:$B$102,D$1,'Transport Only'!$H$4:$H$102)</f>
        <v>2475</v>
      </c>
      <c r="E4" s="34">
        <f>SUMIF('Staging Jobs'!$H$2:$H$58,E$1,'Staging Jobs'!$AD$2:$AD$58)+
SUMIF('Transport Only'!$B$4:$B$102,E$1,'Transport Only'!$H$4:$H$102)</f>
        <v>2874.9999999999991</v>
      </c>
      <c r="F4" s="37">
        <f>SUMIF('Staging Jobs'!$H$2:$H$58,F$1,'Staging Jobs'!$AD$2:$AD$58)+
SUMIF('Transport Only'!$B$4:$B$102,F$1,'Transport Only'!$H$4:$H$102)</f>
        <v>682.00000000000011</v>
      </c>
      <c r="G4" s="34">
        <f>SUMIF('Staging Jobs'!$H$2:$H$58,G$1,'Staging Jobs'!$AD$2:$AD$58)+
SUMIF('Transport Only'!$B$4:$B$102,G$1,'Transport Only'!$H$4:$H$102)</f>
        <v>330.00000000000011</v>
      </c>
      <c r="H4" s="37">
        <f>SUMIF('Staging Jobs'!$H$2:$H$58,H$1,'Staging Jobs'!$AD$2:$AD$58)+
SUMIF('Transport Only'!$B$4:$B$102,H$1,'Transport Only'!$H$4:$H$102)</f>
        <v>0</v>
      </c>
      <c r="I4" s="34">
        <f>SUMIF('Staging Jobs'!$H$2:$H$58,I$1,'Staging Jobs'!$AD$2:$AD$58)+
SUMIF('Transport Only'!$B$4:$B$102,I$1,'Transport Only'!$H$4:$H$102)</f>
        <v>0</v>
      </c>
      <c r="J4" s="37">
        <f>SUMIF('Staging Jobs'!$H$2:$H$58,J$1,'Staging Jobs'!$AD$2:$AD$58)+
SUMIF('Transport Only'!$B$4:$B$102,J$1,'Transport Only'!$H$4:$H$102)</f>
        <v>0</v>
      </c>
      <c r="K4" s="34">
        <f>SUMIF('Staging Jobs'!$H$2:$H$58,K$1,'Staging Jobs'!$AD$2:$AD$58)+
SUMIF('Transport Only'!$B$4:$B$102,K$1,'Transport Only'!$H$4:$H$102)</f>
        <v>0</v>
      </c>
      <c r="L4" s="37">
        <f>SUMIF('Staging Jobs'!$H$2:$H$58,L$1,'Staging Jobs'!$AD$2:$AD$58)+
SUMIF('Transport Only'!$B$4:$B$102,L$1,'Transport Only'!$H$4:$H$102)</f>
        <v>0</v>
      </c>
      <c r="M4" s="34">
        <f>SUMIF('Staging Jobs'!$H$2:$H$58,M$1,'Staging Jobs'!$AD$2:$AD$58)+
SUMIF('Transport Only'!$B$4:$B$102,M$1,'Transport Only'!$H$4:$H$102)</f>
        <v>0</v>
      </c>
      <c r="N4" s="37">
        <f>SUMIF('Staging Jobs'!$H$2:$H$58,N$1,'Staging Jobs'!$AD$2:$AD$58)+
SUMIF('Transport Only'!$B$4:$B$102,N$1,'Transport Only'!$H$4:$H$102)</f>
        <v>0</v>
      </c>
    </row>
    <row r="5" spans="1:14" s="21" customFormat="1">
      <c r="A5" s="22" t="s">
        <v>16</v>
      </c>
      <c r="B5" s="26">
        <f>SUM(C5:N5)</f>
        <v>6108.954545454545</v>
      </c>
      <c r="C5" s="34">
        <f>SUMIFS('Staging Jobs'!$T$2:$T$58,'Staging Jobs'!$H$2:$H$58,C$1,'Staging Jobs'!$R$2:$R$58,"Y")+
SUMIFS('Staging Jobs'!$AE$2:$AE$58,'Staging Jobs'!$H$2:$H$58,C$1,'Staging Jobs'!$AF$2:$AF$58,"Y")+
SUMIFS('Transport Only'!$I$4:$I$102,'Transport Only'!$B$4:$B$102,C$1,'Transport Only'!$J$4:$J$102,"Y")</f>
        <v>2549.7272727272725</v>
      </c>
      <c r="D5" s="37">
        <f>SUMIFS('Staging Jobs'!$T$2:$T$58,'Staging Jobs'!$H$2:$H$58,D$1,'Staging Jobs'!$R$2:$R$58,"Y")+
SUMIFS('Staging Jobs'!$AE$2:$AE$58,'Staging Jobs'!$H$2:$H$58,D$1,'Staging Jobs'!$AF$2:$AF$58,"Y")+
SUMIFS('Transport Only'!$I$4:$I$102,'Transport Only'!$B$4:$B$102,D$1,'Transport Only'!$J$4:$J$102,"Y")</f>
        <v>1372.2727272727273</v>
      </c>
      <c r="E5" s="34">
        <f>SUMIFS('Staging Jobs'!$T$2:$T$58,'Staging Jobs'!$H$2:$H$58,E$1,'Staging Jobs'!$R$2:$R$58,"Y")+
SUMIFS('Staging Jobs'!$AE$2:$AE$58,'Staging Jobs'!$H$2:$H$58,E$1,'Staging Jobs'!$AF$2:$AF$58,"Y")+
SUMIFS('Transport Only'!$I$4:$I$102,'Transport Only'!$B$4:$B$102,E$1,'Transport Only'!$J$4:$J$102,"Y")</f>
        <v>1806.772727272727</v>
      </c>
      <c r="F5" s="37">
        <f>SUMIFS('Staging Jobs'!$T$2:$T$58,'Staging Jobs'!$H$2:$H$58,F$1,'Staging Jobs'!$R$2:$R$58,"Y")+
SUMIFS('Staging Jobs'!$AE$2:$AE$58,'Staging Jobs'!$H$2:$H$58,F$1,'Staging Jobs'!$AF$2:$AF$58,"Y")+
SUMIFS('Transport Only'!$I$4:$I$102,'Transport Only'!$B$4:$B$102,F$1,'Transport Only'!$J$4:$J$102,"Y")</f>
        <v>380.18181818181819</v>
      </c>
      <c r="G5" s="34">
        <f>SUMIFS('Staging Jobs'!$T$2:$T$58,'Staging Jobs'!$H$2:$H$58,G$1,'Staging Jobs'!$R$2:$R$58,"Y")+
SUMIFS('Staging Jobs'!$AE$2:$AE$58,'Staging Jobs'!$H$2:$H$58,G$1,'Staging Jobs'!$AF$2:$AF$58,"Y")+
SUMIFS('Transport Only'!$I$4:$I$102,'Transport Only'!$B$4:$B$102,G$1,'Transport Only'!$J$4:$J$102,"Y")</f>
        <v>0</v>
      </c>
      <c r="H5" s="37">
        <f>SUMIFS('Staging Jobs'!$T$2:$T$58,'Staging Jobs'!$H$2:$H$58,H$1,'Staging Jobs'!$R$2:$R$58,"Y")+
SUMIFS('Staging Jobs'!$AE$2:$AE$58,'Staging Jobs'!$H$2:$H$58,H$1,'Staging Jobs'!$AF$2:$AF$58,"Y")+
SUMIFS('Transport Only'!$I$4:$I$102,'Transport Only'!$B$4:$B$102,H$1,'Transport Only'!$J$4:$J$102,"Y")</f>
        <v>0</v>
      </c>
      <c r="I5" s="34">
        <f>SUMIFS('Staging Jobs'!$T$2:$T$58,'Staging Jobs'!$H$2:$H$58,I$1,'Staging Jobs'!$R$2:$R$58,"Y")+
SUMIFS('Staging Jobs'!$AE$2:$AE$58,'Staging Jobs'!$H$2:$H$58,I$1,'Staging Jobs'!$AF$2:$AF$58,"Y")+
SUMIFS('Transport Only'!$I$4:$I$102,'Transport Only'!$B$4:$B$102,I$1,'Transport Only'!$J$4:$J$102,"Y")</f>
        <v>0</v>
      </c>
      <c r="J5" s="37">
        <f>SUMIFS('Staging Jobs'!$T$2:$T$58,'Staging Jobs'!$H$2:$H$58,J$1,'Staging Jobs'!$R$2:$R$58,"Y")+
SUMIFS('Staging Jobs'!$AE$2:$AE$58,'Staging Jobs'!$H$2:$H$58,J$1,'Staging Jobs'!$AF$2:$AF$58,"Y")+
SUMIFS('Transport Only'!$I$4:$I$102,'Transport Only'!$B$4:$B$102,J$1,'Transport Only'!$J$4:$J$102,"Y")</f>
        <v>0</v>
      </c>
      <c r="K5" s="34">
        <f>SUMIFS('Staging Jobs'!$T$2:$T$58,'Staging Jobs'!$H$2:$H$58,K$1,'Staging Jobs'!$R$2:$R$58,"Y")+
SUMIFS('Staging Jobs'!$AE$2:$AE$58,'Staging Jobs'!$H$2:$H$58,K$1,'Staging Jobs'!$AF$2:$AF$58,"Y")+
SUMIFS('Transport Only'!$I$4:$I$102,'Transport Only'!$B$4:$B$102,K$1,'Transport Only'!$J$4:$J$102,"Y")</f>
        <v>0</v>
      </c>
      <c r="L5" s="37">
        <f>SUMIFS('Staging Jobs'!$T$2:$T$58,'Staging Jobs'!$H$2:$H$58,L$1,'Staging Jobs'!$R$2:$R$58,"Y")+
SUMIFS('Staging Jobs'!$AE$2:$AE$58,'Staging Jobs'!$H$2:$H$58,L$1,'Staging Jobs'!$AF$2:$AF$58,"Y")+
SUMIFS('Transport Only'!$I$4:$I$102,'Transport Only'!$B$4:$B$102,L$1,'Transport Only'!$J$4:$J$102,"Y")</f>
        <v>0</v>
      </c>
      <c r="M5" s="34">
        <f>SUMIFS('Staging Jobs'!$T$2:$T$58,'Staging Jobs'!$H$2:$H$58,M$1,'Staging Jobs'!$R$2:$R$58,"Y")+
SUMIFS('Staging Jobs'!$AE$2:$AE$58,'Staging Jobs'!$H$2:$H$58,M$1,'Staging Jobs'!$AF$2:$AF$58,"Y")+
SUMIFS('Transport Only'!$I$4:$I$102,'Transport Only'!$B$4:$B$102,M$1,'Transport Only'!$J$4:$J$102,"Y")</f>
        <v>0</v>
      </c>
      <c r="N5" s="37">
        <f>SUMIFS('Staging Jobs'!$T$2:$T$58,'Staging Jobs'!$H$2:$H$58,N$1,'Staging Jobs'!$R$2:$R$58,"Y")+
SUMIFS('Staging Jobs'!$AE$2:$AE$58,'Staging Jobs'!$H$2:$H$58,N$1,'Staging Jobs'!$AF$2:$AF$58,"Y")+
SUMIFS('Transport Only'!$I$4:$I$102,'Transport Only'!$B$4:$B$102,N$1,'Transport Only'!$J$4:$J$102,"Y")</f>
        <v>0</v>
      </c>
    </row>
    <row r="6" spans="1:14" s="21" customFormat="1">
      <c r="A6" s="22" t="s">
        <v>17</v>
      </c>
      <c r="B6" s="26">
        <f>SUM(C6:N6)</f>
        <v>3258.590909090909</v>
      </c>
      <c r="C6" s="34">
        <f>SUMIFS('Staging Jobs'!$W$2:$W$58,'Staging Jobs'!$H$2:$H$58,C$1,'Staging Jobs'!$R$2:$R$58,"Y")</f>
        <v>1244.0909090909092</v>
      </c>
      <c r="D6" s="37">
        <f>SUMIFS('Staging Jobs'!$W$2:$W$58,'Staging Jobs'!$H$2:$H$58,D$1,'Staging Jobs'!$R$2:$R$58,"Y")</f>
        <v>1190.909090909091</v>
      </c>
      <c r="E6" s="34">
        <f>SUMIFS('Staging Jobs'!$W$2:$W$58,'Staging Jobs'!$H$2:$H$58,E$1,'Staging Jobs'!$R$2:$R$58,"Y")</f>
        <v>823.59090909090901</v>
      </c>
      <c r="F6" s="37">
        <f>SUMIFS('Staging Jobs'!$W$2:$W$58,'Staging Jobs'!$H$2:$H$58,F$1,'Staging Jobs'!$R$2:$R$58,"Y")</f>
        <v>0</v>
      </c>
      <c r="G6" s="34">
        <f>SUMIFS('Staging Jobs'!$W$2:$W$58,'Staging Jobs'!$H$2:$H$58,G$1,'Staging Jobs'!$R$2:$R$58,"Y")</f>
        <v>0</v>
      </c>
      <c r="H6" s="37">
        <f>SUMIFS('Staging Jobs'!$W$2:$W$58,'Staging Jobs'!$H$2:$H$58,H$1,'Staging Jobs'!$R$2:$R$58,"Y")</f>
        <v>0</v>
      </c>
      <c r="I6" s="34">
        <f>SUMIFS('Staging Jobs'!$W$2:$W$58,'Staging Jobs'!$H$2:$H$58,I$1,'Staging Jobs'!$R$2:$R$58,"Y")</f>
        <v>0</v>
      </c>
      <c r="J6" s="37">
        <f>SUMIFS('Staging Jobs'!$W$2:$W$58,'Staging Jobs'!$H$2:$H$58,J$1,'Staging Jobs'!$R$2:$R$58,"Y")</f>
        <v>0</v>
      </c>
      <c r="K6" s="34">
        <f>SUMIFS('Staging Jobs'!$W$2:$W$58,'Staging Jobs'!$H$2:$H$58,K$1,'Staging Jobs'!$R$2:$R$58,"Y")</f>
        <v>0</v>
      </c>
      <c r="L6" s="37">
        <f>SUMIFS('Staging Jobs'!$W$2:$W$58,'Staging Jobs'!$H$2:$H$58,L$1,'Staging Jobs'!$R$2:$R$58,"Y")</f>
        <v>0</v>
      </c>
      <c r="M6" s="34">
        <f>SUMIFS('Staging Jobs'!$W$2:$W$58,'Staging Jobs'!$H$2:$H$58,M$1,'Staging Jobs'!$R$2:$R$58,"Y")</f>
        <v>0</v>
      </c>
      <c r="N6" s="37">
        <f>SUMIFS('Staging Jobs'!$W$2:$W$58,'Staging Jobs'!$H$2:$H$58,N$1,'Staging Jobs'!$R$2:$R$58,"Y")</f>
        <v>0</v>
      </c>
    </row>
    <row r="8" spans="1:14" s="21" customFormat="1">
      <c r="A8" s="22" t="s">
        <v>18</v>
      </c>
      <c r="B8" s="26">
        <f>B3-B4-B5-B6</f>
        <v>40602.954545454544</v>
      </c>
      <c r="C8" s="34">
        <f t="shared" ref="C8:N8" si="0">C3-C4-C5-C6</f>
        <v>16619.18181818182</v>
      </c>
      <c r="D8" s="37">
        <f t="shared" si="0"/>
        <v>10381.81818181818</v>
      </c>
      <c r="E8" s="34">
        <f t="shared" si="0"/>
        <v>11494.136363636364</v>
      </c>
      <c r="F8" s="37">
        <f t="shared" si="0"/>
        <v>2437.818181818182</v>
      </c>
      <c r="G8" s="34">
        <f t="shared" si="0"/>
        <v>-330.00000000000011</v>
      </c>
      <c r="H8" s="37">
        <f t="shared" si="0"/>
        <v>0</v>
      </c>
      <c r="I8" s="34">
        <f t="shared" si="0"/>
        <v>0</v>
      </c>
      <c r="J8" s="37">
        <f t="shared" si="0"/>
        <v>0</v>
      </c>
      <c r="K8" s="34">
        <f t="shared" si="0"/>
        <v>0</v>
      </c>
      <c r="L8" s="37">
        <f t="shared" si="0"/>
        <v>0</v>
      </c>
      <c r="M8" s="34">
        <f t="shared" si="0"/>
        <v>0</v>
      </c>
      <c r="N8" s="37">
        <f t="shared" si="0"/>
        <v>0</v>
      </c>
    </row>
    <row r="9" spans="1:14">
      <c r="B9" s="29">
        <f>B8/B3</f>
        <v>0.67503394950007134</v>
      </c>
      <c r="C9" s="29">
        <f t="shared" ref="C9:N9" si="1">C8/C3</f>
        <v>0.68589277004464799</v>
      </c>
      <c r="D9" s="29">
        <f t="shared" si="1"/>
        <v>0.67326966159650969</v>
      </c>
      <c r="E9" s="29">
        <f t="shared" si="1"/>
        <v>0.67614555508317087</v>
      </c>
      <c r="F9" s="29">
        <f t="shared" si="1"/>
        <v>0.69651948051948054</v>
      </c>
      <c r="G9" s="29" t="e">
        <f t="shared" si="1"/>
        <v>#DIV/0!</v>
      </c>
      <c r="H9" s="29" t="e">
        <f t="shared" si="1"/>
        <v>#DIV/0!</v>
      </c>
      <c r="I9" s="29" t="e">
        <f t="shared" si="1"/>
        <v>#DIV/0!</v>
      </c>
      <c r="J9" s="29" t="e">
        <f t="shared" si="1"/>
        <v>#DIV/0!</v>
      </c>
      <c r="K9" s="29" t="e">
        <f t="shared" si="1"/>
        <v>#DIV/0!</v>
      </c>
      <c r="L9" s="29" t="e">
        <f t="shared" si="1"/>
        <v>#DIV/0!</v>
      </c>
      <c r="M9" s="29" t="e">
        <f t="shared" si="1"/>
        <v>#DIV/0!</v>
      </c>
      <c r="N9" s="29" t="e">
        <f t="shared" si="1"/>
        <v>#DIV/0!</v>
      </c>
    </row>
    <row r="11" spans="1:14">
      <c r="A11" s="22" t="s">
        <v>19</v>
      </c>
      <c r="B11" s="26">
        <f>SUMIF('Staging Jobs'!$AF$2:$AF$58,"",'Staging Jobs'!$AD$2:$AD$58)+
SUMIF('Transport Only'!$J$4:$J$102,"",'Transport Only'!$H$4:$H$102)</f>
        <v>330.00000000000011</v>
      </c>
    </row>
    <row r="15" spans="1:14">
      <c r="B15" s="29"/>
    </row>
    <row r="16" spans="1:14">
      <c r="B16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CEAA-B1B2-43FB-A530-B54614354D4E}">
  <dimension ref="A1:AP22"/>
  <sheetViews>
    <sheetView tabSelected="1" zoomScale="88" zoomScaleNormal="90" workbookViewId="0">
      <pane xSplit="3" ySplit="1" topLeftCell="D2" activePane="bottomRight" state="frozen"/>
      <selection pane="bottomRight" activeCell="A2" sqref="A2"/>
      <selection pane="bottomLeft" activeCell="A4" sqref="A4"/>
      <selection pane="topRight" activeCell="D1" sqref="D1"/>
    </sheetView>
  </sheetViews>
  <sheetFormatPr defaultRowHeight="14.25"/>
  <cols>
    <col min="1" max="1" width="8.42578125" bestFit="1" customWidth="1"/>
    <col min="2" max="2" width="18.85546875" bestFit="1" customWidth="1"/>
    <col min="3" max="3" width="13.140625" bestFit="1" customWidth="1"/>
    <col min="4" max="4" width="13.140625" customWidth="1"/>
    <col min="5" max="5" width="14.42578125" bestFit="1" customWidth="1"/>
    <col min="6" max="6" width="19.42578125" bestFit="1" customWidth="1"/>
    <col min="7" max="8" width="12.42578125" style="30" customWidth="1"/>
    <col min="9" max="9" width="7.7109375" customWidth="1"/>
    <col min="10" max="10" width="12.42578125" style="30" customWidth="1"/>
    <col min="11" max="11" width="11.5703125" customWidth="1"/>
    <col min="12" max="12" width="12.5703125" style="1" customWidth="1"/>
    <col min="13" max="13" width="12.42578125" style="30" customWidth="1"/>
    <col min="14" max="15" width="12.140625" style="2" customWidth="1"/>
    <col min="16" max="16" width="13.28515625" style="2" customWidth="1"/>
    <col min="17" max="18" width="8.42578125" customWidth="1"/>
    <col min="19" max="19" width="8.42578125" style="7" customWidth="1"/>
    <col min="20" max="20" width="12.5703125" style="2" customWidth="1"/>
    <col min="21" max="21" width="8.42578125" style="2" customWidth="1"/>
    <col min="22" max="22" width="10.5703125" style="2" customWidth="1"/>
    <col min="23" max="23" width="8.140625" style="7" customWidth="1"/>
    <col min="24" max="26" width="8.5703125" style="2" customWidth="1"/>
    <col min="27" max="28" width="12" style="9" bestFit="1" customWidth="1"/>
    <col min="29" max="29" width="8.28515625" style="12" bestFit="1" customWidth="1"/>
    <col min="30" max="30" width="11" style="11" bestFit="1" customWidth="1"/>
    <col min="31" max="31" width="11.7109375" style="15" bestFit="1" customWidth="1"/>
    <col min="32" max="32" width="11" style="15" customWidth="1"/>
    <col min="33" max="33" width="9" style="7"/>
    <col min="34" max="34" width="9" style="17"/>
  </cols>
  <sheetData>
    <row r="1" spans="1:42" s="5" customFormat="1" ht="42.75">
      <c r="A1" s="4" t="s">
        <v>20</v>
      </c>
      <c r="B1" s="5" t="s">
        <v>21</v>
      </c>
      <c r="C1" s="5" t="s">
        <v>22</v>
      </c>
      <c r="D1" s="4" t="s">
        <v>23</v>
      </c>
      <c r="E1" s="4" t="s">
        <v>24</v>
      </c>
      <c r="F1" s="5" t="s">
        <v>25</v>
      </c>
      <c r="G1" s="47" t="s">
        <v>26</v>
      </c>
      <c r="H1" s="47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s="4" t="s">
        <v>36</v>
      </c>
      <c r="R1" s="4" t="s">
        <v>37</v>
      </c>
      <c r="S1" s="4" t="s">
        <v>38</v>
      </c>
      <c r="T1" s="6" t="s">
        <v>39</v>
      </c>
      <c r="U1" s="6" t="s">
        <v>40</v>
      </c>
      <c r="V1" s="6" t="s">
        <v>41</v>
      </c>
      <c r="W1" s="4" t="s">
        <v>42</v>
      </c>
      <c r="X1" s="8" t="s">
        <v>43</v>
      </c>
      <c r="Y1" s="8" t="s">
        <v>44</v>
      </c>
      <c r="Z1" s="8" t="s">
        <v>45</v>
      </c>
      <c r="AA1" s="10" t="s">
        <v>46</v>
      </c>
      <c r="AB1" s="10" t="s">
        <v>47</v>
      </c>
      <c r="AC1" s="14" t="s">
        <v>48</v>
      </c>
      <c r="AD1" s="13" t="s">
        <v>49</v>
      </c>
      <c r="AE1" s="16" t="s">
        <v>39</v>
      </c>
      <c r="AF1" s="16" t="s">
        <v>40</v>
      </c>
      <c r="AG1" s="5" t="s">
        <v>50</v>
      </c>
      <c r="AH1" s="18" t="s">
        <v>51</v>
      </c>
      <c r="AI1" s="5" t="s">
        <v>52</v>
      </c>
    </row>
    <row r="2" spans="1:42">
      <c r="A2">
        <v>1</v>
      </c>
      <c r="B2" t="s">
        <v>53</v>
      </c>
      <c r="C2" t="s">
        <v>54</v>
      </c>
      <c r="E2" t="s">
        <v>55</v>
      </c>
      <c r="F2" t="s">
        <v>56</v>
      </c>
      <c r="I2" s="1"/>
      <c r="K2" s="1"/>
      <c r="Q2" s="3"/>
      <c r="AG2" s="10"/>
      <c r="AH2" s="25"/>
      <c r="AN2" s="11"/>
      <c r="AO2" s="15"/>
      <c r="AP2" s="15"/>
    </row>
    <row r="3" spans="1:42">
      <c r="A3">
        <v>2</v>
      </c>
      <c r="B3" t="s">
        <v>57</v>
      </c>
      <c r="C3" t="s">
        <v>58</v>
      </c>
      <c r="E3" t="s">
        <v>59</v>
      </c>
      <c r="F3" t="s">
        <v>60</v>
      </c>
      <c r="I3" s="1"/>
      <c r="Q3" s="3"/>
      <c r="AG3" s="10"/>
      <c r="AH3" s="25"/>
    </row>
    <row r="4" spans="1:42">
      <c r="A4">
        <v>3</v>
      </c>
      <c r="B4" t="s">
        <v>61</v>
      </c>
      <c r="C4" t="s">
        <v>62</v>
      </c>
      <c r="E4" t="s">
        <v>63</v>
      </c>
      <c r="F4" t="s">
        <v>64</v>
      </c>
      <c r="I4" s="1"/>
      <c r="K4" s="1"/>
      <c r="Q4" s="3"/>
      <c r="AG4" s="10"/>
      <c r="AH4" s="25"/>
    </row>
    <row r="5" spans="1:42">
      <c r="A5">
        <v>4</v>
      </c>
      <c r="B5" t="s">
        <v>65</v>
      </c>
      <c r="C5" t="s">
        <v>66</v>
      </c>
      <c r="E5" t="s">
        <v>63</v>
      </c>
      <c r="F5" t="s">
        <v>64</v>
      </c>
      <c r="I5" s="1"/>
      <c r="K5" s="1"/>
      <c r="Q5" s="3"/>
      <c r="AG5" s="10"/>
      <c r="AH5" s="25"/>
    </row>
    <row r="6" spans="1:42">
      <c r="A6">
        <v>5</v>
      </c>
      <c r="B6" t="s">
        <v>67</v>
      </c>
      <c r="C6" t="s">
        <v>68</v>
      </c>
      <c r="E6" t="s">
        <v>69</v>
      </c>
      <c r="F6" t="s">
        <v>70</v>
      </c>
      <c r="I6" s="1"/>
      <c r="K6" s="1"/>
      <c r="Q6" s="3"/>
      <c r="AG6" s="10"/>
      <c r="AH6" s="25"/>
    </row>
    <row r="7" spans="1:42">
      <c r="A7">
        <v>6</v>
      </c>
      <c r="B7" t="s">
        <v>71</v>
      </c>
      <c r="C7" t="s">
        <v>72</v>
      </c>
      <c r="E7" t="s">
        <v>73</v>
      </c>
      <c r="F7" t="s">
        <v>74</v>
      </c>
      <c r="I7" s="1"/>
      <c r="K7" s="1"/>
      <c r="Q7" s="3"/>
      <c r="AG7" s="10"/>
      <c r="AH7" s="25"/>
    </row>
    <row r="8" spans="1:42">
      <c r="A8">
        <v>7</v>
      </c>
      <c r="B8" t="s">
        <v>75</v>
      </c>
      <c r="C8" t="s">
        <v>76</v>
      </c>
      <c r="E8" t="s">
        <v>73</v>
      </c>
      <c r="F8" t="s">
        <v>74</v>
      </c>
      <c r="I8" s="1"/>
      <c r="K8" s="1"/>
      <c r="Q8" s="3"/>
      <c r="AG8" s="10"/>
      <c r="AH8" s="25"/>
    </row>
    <row r="9" spans="1:42">
      <c r="A9">
        <v>8</v>
      </c>
      <c r="B9" t="s">
        <v>77</v>
      </c>
      <c r="C9" t="s">
        <v>78</v>
      </c>
      <c r="E9" t="s">
        <v>63</v>
      </c>
      <c r="F9" t="s">
        <v>64</v>
      </c>
      <c r="I9" s="1"/>
      <c r="K9" s="1"/>
      <c r="Q9" s="3"/>
      <c r="AG9" s="10"/>
    </row>
    <row r="10" spans="1:42">
      <c r="A10">
        <v>9</v>
      </c>
      <c r="B10" t="s">
        <v>79</v>
      </c>
      <c r="C10" t="s">
        <v>62</v>
      </c>
      <c r="E10" t="s">
        <v>80</v>
      </c>
      <c r="F10" t="s">
        <v>70</v>
      </c>
      <c r="I10" s="1"/>
      <c r="K10" s="1"/>
      <c r="Q10" s="3"/>
      <c r="AG10" s="10"/>
    </row>
    <row r="11" spans="1:42">
      <c r="A11">
        <v>10</v>
      </c>
      <c r="B11" t="s">
        <v>81</v>
      </c>
      <c r="C11" t="s">
        <v>76</v>
      </c>
      <c r="E11" t="s">
        <v>73</v>
      </c>
      <c r="F11" t="s">
        <v>74</v>
      </c>
      <c r="I11" s="1"/>
      <c r="K11" s="1"/>
      <c r="Q11" s="3"/>
      <c r="AG11" s="10"/>
    </row>
    <row r="12" spans="1:42">
      <c r="A12">
        <v>11</v>
      </c>
      <c r="B12" t="s">
        <v>82</v>
      </c>
      <c r="C12" t="s">
        <v>78</v>
      </c>
      <c r="E12" t="s">
        <v>63</v>
      </c>
      <c r="F12" t="s">
        <v>64</v>
      </c>
      <c r="I12" s="1"/>
      <c r="K12" s="1"/>
      <c r="Q12" s="3"/>
      <c r="AG12" s="10"/>
    </row>
    <row r="13" spans="1:42">
      <c r="A13">
        <v>12</v>
      </c>
      <c r="B13" t="s">
        <v>83</v>
      </c>
      <c r="C13" t="s">
        <v>84</v>
      </c>
      <c r="E13" t="s">
        <v>69</v>
      </c>
      <c r="F13" t="s">
        <v>70</v>
      </c>
      <c r="I13" s="1"/>
      <c r="K13" s="1"/>
      <c r="Q13" s="3"/>
      <c r="AG13" s="10"/>
    </row>
    <row r="14" spans="1:42">
      <c r="A14">
        <v>13</v>
      </c>
      <c r="B14" t="s">
        <v>85</v>
      </c>
      <c r="C14" t="s">
        <v>78</v>
      </c>
      <c r="E14" t="s">
        <v>69</v>
      </c>
      <c r="F14" t="s">
        <v>70</v>
      </c>
      <c r="I14" s="1"/>
      <c r="K14" s="1"/>
      <c r="Q14" s="3"/>
      <c r="AG14" s="10"/>
    </row>
    <row r="15" spans="1:42">
      <c r="A15">
        <v>14</v>
      </c>
      <c r="B15" t="s">
        <v>86</v>
      </c>
      <c r="C15" t="s">
        <v>78</v>
      </c>
      <c r="E15" t="s">
        <v>63</v>
      </c>
      <c r="F15" t="s">
        <v>64</v>
      </c>
      <c r="I15" s="1"/>
      <c r="K15" s="1"/>
      <c r="Q15" s="3"/>
      <c r="AG15" s="10"/>
    </row>
    <row r="16" spans="1:42">
      <c r="A16">
        <v>15</v>
      </c>
      <c r="B16" t="s">
        <v>87</v>
      </c>
      <c r="C16" t="s">
        <v>88</v>
      </c>
      <c r="E16" t="s">
        <v>89</v>
      </c>
      <c r="F16" t="s">
        <v>90</v>
      </c>
      <c r="I16" s="1"/>
      <c r="AG16" s="10"/>
    </row>
    <row r="17" spans="1:33">
      <c r="A17">
        <v>16</v>
      </c>
      <c r="B17" t="s">
        <v>91</v>
      </c>
      <c r="C17" t="s">
        <v>78</v>
      </c>
      <c r="E17" t="s">
        <v>92</v>
      </c>
      <c r="F17" t="s">
        <v>64</v>
      </c>
      <c r="I17" s="1"/>
      <c r="K17" s="1"/>
      <c r="AG17" s="10"/>
    </row>
    <row r="18" spans="1:33">
      <c r="A18">
        <v>17</v>
      </c>
      <c r="B18" t="s">
        <v>93</v>
      </c>
      <c r="C18" t="s">
        <v>62</v>
      </c>
      <c r="E18" t="s">
        <v>63</v>
      </c>
      <c r="F18" t="s">
        <v>64</v>
      </c>
      <c r="I18" s="1"/>
      <c r="AG18" s="10"/>
    </row>
    <row r="19" spans="1:33">
      <c r="A19">
        <v>18</v>
      </c>
      <c r="B19" t="s">
        <v>94</v>
      </c>
      <c r="C19" t="s">
        <v>95</v>
      </c>
      <c r="E19" t="s">
        <v>96</v>
      </c>
      <c r="F19" t="s">
        <v>97</v>
      </c>
      <c r="I19" s="1"/>
      <c r="AG19" s="10"/>
    </row>
    <row r="20" spans="1:33">
      <c r="A20">
        <v>19</v>
      </c>
      <c r="B20" t="s">
        <v>98</v>
      </c>
      <c r="C20" t="s">
        <v>99</v>
      </c>
      <c r="E20" t="s">
        <v>63</v>
      </c>
      <c r="F20" t="s">
        <v>64</v>
      </c>
      <c r="I20" s="1"/>
      <c r="AG20" s="10"/>
    </row>
    <row r="21" spans="1:33">
      <c r="A21">
        <v>20</v>
      </c>
      <c r="B21" t="s">
        <v>100</v>
      </c>
      <c r="C21" t="s">
        <v>76</v>
      </c>
      <c r="E21" t="s">
        <v>73</v>
      </c>
      <c r="F21" t="s">
        <v>74</v>
      </c>
      <c r="I21" s="1"/>
      <c r="AG21" s="10"/>
    </row>
    <row r="22" spans="1:33">
      <c r="A22">
        <v>21</v>
      </c>
      <c r="B22" t="s">
        <v>101</v>
      </c>
      <c r="C22" t="s">
        <v>62</v>
      </c>
      <c r="E22" t="s">
        <v>63</v>
      </c>
      <c r="F22" t="s">
        <v>64</v>
      </c>
      <c r="G22" s="1"/>
      <c r="I22" s="1"/>
    </row>
  </sheetData>
  <autoFilter ref="A1:AI21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"/>
  <sheetViews>
    <sheetView zoomScale="88" zoomScaleNormal="90" workbookViewId="0">
      <pane xSplit="3" ySplit="1" topLeftCell="AA2" activePane="bottomRight" state="frozen"/>
      <selection pane="bottomRight" activeCell="D22" sqref="D22"/>
      <selection pane="bottomLeft" activeCell="A4" sqref="A4"/>
      <selection pane="topRight" activeCell="D1" sqref="D1"/>
    </sheetView>
  </sheetViews>
  <sheetFormatPr defaultRowHeight="14.25"/>
  <cols>
    <col min="1" max="1" width="8.42578125" bestFit="1" customWidth="1"/>
    <col min="2" max="2" width="18.85546875" bestFit="1" customWidth="1"/>
    <col min="3" max="3" width="13.140625" bestFit="1" customWidth="1"/>
    <col min="4" max="4" width="19.42578125" bestFit="1" customWidth="1"/>
    <col min="5" max="5" width="14.42578125" bestFit="1" customWidth="1"/>
    <col min="6" max="7" width="12.42578125" style="30" customWidth="1"/>
    <col min="8" max="8" width="7.7109375" customWidth="1"/>
    <col min="9" max="9" width="12.42578125" style="30" customWidth="1"/>
    <col min="10" max="10" width="11.5703125" customWidth="1"/>
    <col min="11" max="11" width="12.5703125" style="1" customWidth="1"/>
    <col min="12" max="12" width="12.42578125" style="30" customWidth="1"/>
    <col min="13" max="14" width="12.140625" style="2" customWidth="1"/>
    <col min="15" max="15" width="13.28515625" style="2" customWidth="1"/>
    <col min="16" max="17" width="8.42578125" customWidth="1"/>
    <col min="18" max="18" width="8.42578125" style="7" customWidth="1"/>
    <col min="19" max="19" width="12.5703125" style="2" customWidth="1"/>
    <col min="20" max="20" width="8.42578125" style="2" customWidth="1"/>
    <col min="21" max="21" width="10.5703125" style="2" customWidth="1"/>
    <col min="22" max="22" width="8.140625" style="7" customWidth="1"/>
    <col min="23" max="25" width="8.5703125" style="2" customWidth="1"/>
    <col min="26" max="27" width="12" style="9" bestFit="1" customWidth="1"/>
    <col min="28" max="28" width="8.28515625" style="12" bestFit="1" customWidth="1"/>
    <col min="29" max="29" width="11" style="11" bestFit="1" customWidth="1"/>
    <col min="30" max="30" width="11.7109375" style="15" bestFit="1" customWidth="1"/>
    <col min="31" max="31" width="11" style="15" customWidth="1"/>
    <col min="32" max="32" width="9.140625" style="7"/>
    <col min="33" max="33" width="9.140625" style="17"/>
  </cols>
  <sheetData>
    <row r="1" spans="1:41" s="5" customFormat="1" ht="57">
      <c r="A1" s="4" t="s">
        <v>102</v>
      </c>
      <c r="B1" s="5" t="s">
        <v>21</v>
      </c>
      <c r="C1" s="5" t="s">
        <v>22</v>
      </c>
      <c r="D1" s="5" t="s">
        <v>25</v>
      </c>
      <c r="E1" s="4" t="s">
        <v>24</v>
      </c>
      <c r="F1" s="31" t="s">
        <v>103</v>
      </c>
      <c r="G1" s="31" t="s">
        <v>104</v>
      </c>
      <c r="H1" s="4" t="s">
        <v>105</v>
      </c>
      <c r="I1" s="31" t="s">
        <v>106</v>
      </c>
      <c r="J1" s="4" t="s">
        <v>107</v>
      </c>
      <c r="K1" s="27" t="s">
        <v>108</v>
      </c>
      <c r="L1" s="31" t="s">
        <v>109</v>
      </c>
      <c r="M1" s="8" t="s">
        <v>110</v>
      </c>
      <c r="N1" s="8" t="s">
        <v>111</v>
      </c>
      <c r="O1" s="8" t="s">
        <v>112</v>
      </c>
      <c r="P1" s="4" t="s">
        <v>36</v>
      </c>
      <c r="Q1" s="4" t="s">
        <v>37</v>
      </c>
      <c r="R1" s="4" t="s">
        <v>38</v>
      </c>
      <c r="S1" s="6" t="s">
        <v>39</v>
      </c>
      <c r="T1" s="6" t="s">
        <v>40</v>
      </c>
      <c r="U1" s="6" t="s">
        <v>41</v>
      </c>
      <c r="V1" s="4" t="s">
        <v>42</v>
      </c>
      <c r="W1" s="8" t="s">
        <v>43</v>
      </c>
      <c r="X1" s="8" t="s">
        <v>44</v>
      </c>
      <c r="Y1" s="8" t="s">
        <v>45</v>
      </c>
      <c r="Z1" s="10" t="s">
        <v>46</v>
      </c>
      <c r="AA1" s="10" t="s">
        <v>47</v>
      </c>
      <c r="AB1" s="14" t="s">
        <v>48</v>
      </c>
      <c r="AC1" s="13" t="s">
        <v>49</v>
      </c>
      <c r="AD1" s="16" t="s">
        <v>39</v>
      </c>
      <c r="AE1" s="16" t="s">
        <v>40</v>
      </c>
      <c r="AF1" s="5" t="s">
        <v>50</v>
      </c>
      <c r="AG1" s="18" t="s">
        <v>51</v>
      </c>
      <c r="AH1" s="5" t="s">
        <v>52</v>
      </c>
    </row>
    <row r="2" spans="1:41">
      <c r="A2">
        <v>1</v>
      </c>
      <c r="B2" t="s">
        <v>53</v>
      </c>
      <c r="C2" t="s">
        <v>54</v>
      </c>
      <c r="D2" t="s">
        <v>56</v>
      </c>
      <c r="E2" t="s">
        <v>55</v>
      </c>
      <c r="F2" s="30">
        <v>45843</v>
      </c>
      <c r="G2" s="30">
        <v>45849</v>
      </c>
      <c r="H2" s="1" t="str">
        <f t="shared" ref="H2:H22" si="0">IF(F2="","",TEXT(F2,"MMM"))</f>
        <v>Jul</v>
      </c>
      <c r="I2" s="30">
        <f t="shared" ref="I2:I22" si="1">F2+56</f>
        <v>45899</v>
      </c>
      <c r="J2" s="1">
        <v>45886</v>
      </c>
      <c r="K2" s="1" t="s">
        <v>113</v>
      </c>
      <c r="L2" s="30">
        <v>45878</v>
      </c>
      <c r="M2" s="2">
        <v>599000</v>
      </c>
      <c r="N2" s="2">
        <v>649000</v>
      </c>
      <c r="O2" s="2">
        <v>601000</v>
      </c>
      <c r="P2" s="3">
        <f t="shared" ref="P2:P4" si="2">IF(L2="","",(L2-G2)/7)</f>
        <v>4.1428571428571432</v>
      </c>
      <c r="Q2" t="s">
        <v>114</v>
      </c>
      <c r="R2" s="7" t="s">
        <v>115</v>
      </c>
      <c r="S2" s="2">
        <v>2800</v>
      </c>
      <c r="T2" s="2">
        <f t="shared" ref="T2:T6" si="3">IF(S2="","",IF(Q2="EFT",S2/11,""))</f>
        <v>254.54545454545453</v>
      </c>
      <c r="U2" s="2">
        <f t="shared" ref="U2:U6" si="4">IF(T2="",S2,S2-T2)</f>
        <v>2545.4545454545455</v>
      </c>
      <c r="V2" s="7" t="s">
        <v>116</v>
      </c>
      <c r="W2" s="2" t="str">
        <f t="shared" ref="W2:W5" si="5">IF(V2="Y",U2*0.1,"")</f>
        <v/>
      </c>
      <c r="Y2" s="2" t="s">
        <v>117</v>
      </c>
      <c r="Z2" s="9">
        <v>0.375</v>
      </c>
      <c r="AA2" s="9">
        <v>0.5</v>
      </c>
      <c r="AB2" s="12" t="s">
        <v>115</v>
      </c>
      <c r="AC2" s="11">
        <f t="shared" ref="AC2:AC5" si="6">IF(AB2="Y",(AA2-Z2)+(0.5/24),(AA2-Z2))</f>
        <v>0.14583333333333334</v>
      </c>
      <c r="AD2" s="15">
        <f t="shared" ref="AD2:AD21" si="7">IF(Y2="small",AC2*24*$AN$2,AC2*24*$AO$2)</f>
        <v>385</v>
      </c>
      <c r="AE2" s="15">
        <f t="shared" ref="AE2:AE5" si="8">IF(AD2="","",AD2/11)</f>
        <v>35</v>
      </c>
      <c r="AF2" s="10" t="s">
        <v>115</v>
      </c>
      <c r="AG2" s="25" t="s">
        <v>118</v>
      </c>
      <c r="AM2" s="11" t="s">
        <v>119</v>
      </c>
      <c r="AN2" s="15">
        <v>110</v>
      </c>
      <c r="AO2" s="15">
        <v>143</v>
      </c>
    </row>
    <row r="3" spans="1:41">
      <c r="A3">
        <v>2</v>
      </c>
      <c r="B3" t="s">
        <v>57</v>
      </c>
      <c r="C3" t="s">
        <v>58</v>
      </c>
      <c r="D3" t="s">
        <v>60</v>
      </c>
      <c r="E3" t="s">
        <v>59</v>
      </c>
      <c r="F3" s="30">
        <v>45843</v>
      </c>
      <c r="G3" s="30">
        <v>45849</v>
      </c>
      <c r="H3" s="1" t="str">
        <f t="shared" si="0"/>
        <v>Jul</v>
      </c>
      <c r="I3" s="30">
        <f>F3+56</f>
        <v>45899</v>
      </c>
      <c r="K3" s="1" t="s">
        <v>113</v>
      </c>
      <c r="M3" s="2">
        <v>680000</v>
      </c>
      <c r="N3" s="2">
        <v>720000</v>
      </c>
      <c r="P3" s="3" t="str">
        <f t="shared" si="2"/>
        <v/>
      </c>
      <c r="Q3" t="s">
        <v>114</v>
      </c>
      <c r="R3" s="7" t="s">
        <v>115</v>
      </c>
      <c r="S3" s="2">
        <v>2750</v>
      </c>
      <c r="T3" s="2">
        <f t="shared" si="3"/>
        <v>250</v>
      </c>
      <c r="U3" s="2">
        <f t="shared" si="4"/>
        <v>2500</v>
      </c>
      <c r="V3" s="7" t="s">
        <v>115</v>
      </c>
      <c r="W3" s="2">
        <f>IF(V3="Y",U3*0.05,"")</f>
        <v>125</v>
      </c>
      <c r="X3" s="2" t="s">
        <v>115</v>
      </c>
      <c r="Y3" s="2" t="s">
        <v>117</v>
      </c>
      <c r="Z3" s="9">
        <v>0.625</v>
      </c>
      <c r="AA3" s="9">
        <v>0.70833333333333337</v>
      </c>
      <c r="AB3" s="12" t="s">
        <v>116</v>
      </c>
      <c r="AC3" s="11">
        <f t="shared" si="6"/>
        <v>8.333333333333337E-2</v>
      </c>
      <c r="AD3" s="15">
        <f t="shared" si="7"/>
        <v>220.00000000000009</v>
      </c>
      <c r="AE3" s="15">
        <f t="shared" si="8"/>
        <v>20.000000000000007</v>
      </c>
      <c r="AF3" s="10" t="s">
        <v>115</v>
      </c>
      <c r="AG3" s="25" t="s">
        <v>118</v>
      </c>
    </row>
    <row r="4" spans="1:41">
      <c r="A4">
        <v>3</v>
      </c>
      <c r="B4" t="s">
        <v>61</v>
      </c>
      <c r="C4" t="s">
        <v>62</v>
      </c>
      <c r="D4" t="s">
        <v>64</v>
      </c>
      <c r="E4" t="s">
        <v>63</v>
      </c>
      <c r="F4" s="30">
        <v>45847</v>
      </c>
      <c r="G4" s="30">
        <v>45852</v>
      </c>
      <c r="H4" s="1" t="str">
        <f t="shared" si="0"/>
        <v>Jul</v>
      </c>
      <c r="I4" s="30">
        <f t="shared" si="1"/>
        <v>45903</v>
      </c>
      <c r="J4" s="1">
        <v>45903</v>
      </c>
      <c r="K4" s="1" t="s">
        <v>120</v>
      </c>
      <c r="L4" s="30">
        <v>45885</v>
      </c>
      <c r="M4" s="2">
        <v>780000</v>
      </c>
      <c r="N4" s="2">
        <v>850000</v>
      </c>
      <c r="O4" s="2">
        <v>930000</v>
      </c>
      <c r="P4" s="3">
        <f t="shared" si="2"/>
        <v>4.7142857142857144</v>
      </c>
      <c r="Q4" t="s">
        <v>114</v>
      </c>
      <c r="R4" s="7" t="s">
        <v>115</v>
      </c>
      <c r="S4" s="2">
        <v>2970</v>
      </c>
      <c r="T4" s="2">
        <f t="shared" ref="T4" si="9">IF(S4="","",IF(Q4="EFT",S4/11,""))</f>
        <v>270</v>
      </c>
      <c r="U4" s="2">
        <f t="shared" ref="U4" si="10">IF(T4="",S4,S4-T4)</f>
        <v>2700</v>
      </c>
      <c r="V4" s="7" t="s">
        <v>115</v>
      </c>
      <c r="W4" s="2">
        <f>IF(V4="Y",U4*0.1,"")</f>
        <v>270</v>
      </c>
      <c r="X4" s="2" t="s">
        <v>115</v>
      </c>
      <c r="Y4" s="2" t="s">
        <v>117</v>
      </c>
      <c r="Z4" s="9">
        <v>0.79166666666666663</v>
      </c>
      <c r="AA4" s="9">
        <v>0.875</v>
      </c>
      <c r="AB4" s="12" t="s">
        <v>115</v>
      </c>
      <c r="AC4" s="11">
        <f t="shared" si="6"/>
        <v>0.1041666666666667</v>
      </c>
      <c r="AD4" s="15">
        <f t="shared" si="7"/>
        <v>275.00000000000011</v>
      </c>
      <c r="AE4" s="15">
        <f t="shared" si="8"/>
        <v>25.000000000000011</v>
      </c>
      <c r="AF4" s="10" t="s">
        <v>115</v>
      </c>
      <c r="AG4" s="25" t="s">
        <v>118</v>
      </c>
    </row>
    <row r="5" spans="1:41">
      <c r="A5">
        <v>4</v>
      </c>
      <c r="B5" t="s">
        <v>65</v>
      </c>
      <c r="C5" t="s">
        <v>66</v>
      </c>
      <c r="D5" t="s">
        <v>64</v>
      </c>
      <c r="E5" t="s">
        <v>63</v>
      </c>
      <c r="F5" s="30">
        <v>45855</v>
      </c>
      <c r="G5" s="30">
        <v>45861</v>
      </c>
      <c r="H5" s="1" t="str">
        <f t="shared" si="0"/>
        <v>Jul</v>
      </c>
      <c r="I5" s="30">
        <f t="shared" si="1"/>
        <v>45911</v>
      </c>
      <c r="J5" s="1">
        <v>45921</v>
      </c>
      <c r="K5" s="1" t="s">
        <v>113</v>
      </c>
      <c r="L5" s="30">
        <v>45903</v>
      </c>
      <c r="M5" s="2">
        <v>980000</v>
      </c>
      <c r="N5" s="2">
        <v>105000</v>
      </c>
      <c r="O5" s="2">
        <v>998000</v>
      </c>
      <c r="P5" s="3">
        <f>IF(L5="","",(L5-G5)/7)</f>
        <v>6</v>
      </c>
      <c r="Q5" t="s">
        <v>114</v>
      </c>
      <c r="R5" s="7" t="s">
        <v>115</v>
      </c>
      <c r="S5" s="2">
        <v>2900</v>
      </c>
      <c r="T5" s="2">
        <f t="shared" si="3"/>
        <v>263.63636363636363</v>
      </c>
      <c r="U5" s="2">
        <f t="shared" si="4"/>
        <v>2636.3636363636365</v>
      </c>
      <c r="V5" s="7" t="s">
        <v>115</v>
      </c>
      <c r="W5" s="2">
        <f t="shared" si="5"/>
        <v>263.63636363636368</v>
      </c>
      <c r="X5" s="2" t="s">
        <v>115</v>
      </c>
      <c r="Y5" s="2" t="s">
        <v>117</v>
      </c>
      <c r="Z5" s="9">
        <v>0.39583333333333331</v>
      </c>
      <c r="AA5" s="9">
        <v>0.5</v>
      </c>
      <c r="AB5" s="12" t="s">
        <v>115</v>
      </c>
      <c r="AC5" s="11">
        <f t="shared" si="6"/>
        <v>0.12500000000000003</v>
      </c>
      <c r="AD5" s="15">
        <f t="shared" si="7"/>
        <v>330.00000000000011</v>
      </c>
      <c r="AE5" s="15">
        <f t="shared" si="8"/>
        <v>30.000000000000011</v>
      </c>
      <c r="AF5" s="10" t="s">
        <v>115</v>
      </c>
      <c r="AG5" s="25" t="s">
        <v>118</v>
      </c>
    </row>
    <row r="6" spans="1:41">
      <c r="A6">
        <v>5</v>
      </c>
      <c r="B6" t="s">
        <v>67</v>
      </c>
      <c r="C6" t="s">
        <v>68</v>
      </c>
      <c r="D6" t="s">
        <v>70</v>
      </c>
      <c r="E6" t="s">
        <v>69</v>
      </c>
      <c r="F6" s="30">
        <v>45858</v>
      </c>
      <c r="G6" s="30">
        <v>45863</v>
      </c>
      <c r="H6" s="1" t="str">
        <f t="shared" si="0"/>
        <v>Jul</v>
      </c>
      <c r="I6" s="30">
        <f t="shared" si="1"/>
        <v>45914</v>
      </c>
      <c r="J6" s="1">
        <v>45892</v>
      </c>
      <c r="K6" s="1" t="s">
        <v>120</v>
      </c>
      <c r="L6" s="30">
        <v>45885</v>
      </c>
      <c r="M6" s="2">
        <v>870000</v>
      </c>
      <c r="N6" s="2">
        <v>950000</v>
      </c>
      <c r="O6" s="2">
        <v>1321000</v>
      </c>
      <c r="P6" s="3">
        <f t="shared" ref="P6:P15" si="11">IF(L6="","",(L6-G6)/7)</f>
        <v>3.1428571428571428</v>
      </c>
      <c r="Q6" t="s">
        <v>114</v>
      </c>
      <c r="R6" s="7" t="s">
        <v>115</v>
      </c>
      <c r="S6" s="2">
        <v>2970</v>
      </c>
      <c r="T6" s="2">
        <f t="shared" si="3"/>
        <v>270</v>
      </c>
      <c r="U6" s="2">
        <f t="shared" si="4"/>
        <v>2700</v>
      </c>
      <c r="V6" s="7" t="s">
        <v>115</v>
      </c>
      <c r="W6" s="2">
        <f>IF(V6="Y",U6*0.1,"")</f>
        <v>270</v>
      </c>
      <c r="X6" s="2" t="s">
        <v>115</v>
      </c>
      <c r="Y6" s="2" t="s">
        <v>117</v>
      </c>
      <c r="AC6" s="11">
        <f t="shared" ref="AC6" si="12">IF(AB6="Y",(AA6-Z6)+(0.5/24),(AA6-Z6))</f>
        <v>0</v>
      </c>
      <c r="AD6" s="15">
        <f t="shared" si="7"/>
        <v>0</v>
      </c>
      <c r="AE6" s="15">
        <f t="shared" ref="AE6" si="13">IF(AD6="","",AD6/11)</f>
        <v>0</v>
      </c>
      <c r="AF6" s="10" t="s">
        <v>115</v>
      </c>
      <c r="AG6" s="25" t="s">
        <v>118</v>
      </c>
      <c r="AH6" t="s">
        <v>121</v>
      </c>
    </row>
    <row r="7" spans="1:41">
      <c r="A7">
        <v>6</v>
      </c>
      <c r="B7" t="s">
        <v>71</v>
      </c>
      <c r="C7" t="s">
        <v>72</v>
      </c>
      <c r="D7" t="s">
        <v>74</v>
      </c>
      <c r="E7" t="s">
        <v>73</v>
      </c>
      <c r="F7" s="30">
        <v>45859</v>
      </c>
      <c r="G7" s="30">
        <v>45863</v>
      </c>
      <c r="H7" s="1" t="str">
        <f t="shared" si="0"/>
        <v>Jul</v>
      </c>
      <c r="I7" s="30">
        <f t="shared" si="1"/>
        <v>45915</v>
      </c>
      <c r="J7" s="1">
        <v>45962</v>
      </c>
      <c r="K7" s="1" t="s">
        <v>113</v>
      </c>
      <c r="L7" s="30">
        <v>45931</v>
      </c>
      <c r="M7" s="2">
        <v>720000</v>
      </c>
      <c r="N7" s="2">
        <v>760000</v>
      </c>
      <c r="O7" s="2">
        <v>720000</v>
      </c>
      <c r="P7" s="3">
        <f t="shared" si="11"/>
        <v>9.7142857142857135</v>
      </c>
      <c r="Q7" t="s">
        <v>114</v>
      </c>
      <c r="R7" s="7" t="s">
        <v>115</v>
      </c>
      <c r="S7" s="2">
        <v>2900</v>
      </c>
      <c r="T7" s="2">
        <f t="shared" ref="T7:T16" si="14">IF(S7="","",IF(Q7="EFT",S7/11,""))</f>
        <v>263.63636363636363</v>
      </c>
      <c r="U7" s="2">
        <f t="shared" ref="U7:U12" si="15">IF(T7="",S7,S7-T7)</f>
        <v>2636.3636363636365</v>
      </c>
      <c r="V7" s="7" t="s">
        <v>116</v>
      </c>
      <c r="W7" s="2" t="str">
        <f t="shared" ref="W7:W12" si="16">IF(V7="Y",U7*0.1,"")</f>
        <v/>
      </c>
      <c r="Y7" s="2" t="s">
        <v>117</v>
      </c>
      <c r="Z7" s="9">
        <v>0.4375</v>
      </c>
      <c r="AA7" s="9">
        <v>0.60416666666666663</v>
      </c>
      <c r="AB7" s="12" t="s">
        <v>115</v>
      </c>
      <c r="AC7" s="11">
        <f t="shared" ref="AC7:AC10" si="17">IF(AB7="Y",(AA7-Z7)+(0.5/24),(AA7-Z7))</f>
        <v>0.18749999999999997</v>
      </c>
      <c r="AD7" s="15">
        <f t="shared" si="7"/>
        <v>494.99999999999989</v>
      </c>
      <c r="AE7" s="15">
        <f t="shared" ref="AE7:AE10" si="18">IF(AD7="","",AD7/11)</f>
        <v>44.999999999999993</v>
      </c>
      <c r="AF7" s="10" t="s">
        <v>115</v>
      </c>
      <c r="AG7" s="25" t="s">
        <v>118</v>
      </c>
    </row>
    <row r="8" spans="1:41">
      <c r="A8">
        <v>7</v>
      </c>
      <c r="B8" t="s">
        <v>75</v>
      </c>
      <c r="C8" t="s">
        <v>76</v>
      </c>
      <c r="D8" t="s">
        <v>74</v>
      </c>
      <c r="E8" t="s">
        <v>73</v>
      </c>
      <c r="F8" s="30">
        <v>45861</v>
      </c>
      <c r="G8" s="30">
        <v>45863</v>
      </c>
      <c r="H8" s="1" t="str">
        <f t="shared" si="0"/>
        <v>Jul</v>
      </c>
      <c r="I8" s="30">
        <f t="shared" si="1"/>
        <v>45917</v>
      </c>
      <c r="J8" s="1">
        <v>45926</v>
      </c>
      <c r="K8" s="1" t="s">
        <v>113</v>
      </c>
      <c r="L8" s="30">
        <v>45911</v>
      </c>
      <c r="M8" s="2">
        <v>740000</v>
      </c>
      <c r="N8" s="2">
        <v>760000</v>
      </c>
      <c r="O8" s="2">
        <v>720000</v>
      </c>
      <c r="P8" s="3">
        <f t="shared" si="11"/>
        <v>6.8571428571428568</v>
      </c>
      <c r="Q8" t="s">
        <v>114</v>
      </c>
      <c r="R8" s="7" t="s">
        <v>115</v>
      </c>
      <c r="S8" s="2">
        <v>3470</v>
      </c>
      <c r="T8" s="2">
        <f t="shared" si="14"/>
        <v>315.45454545454544</v>
      </c>
      <c r="U8" s="2">
        <f t="shared" si="15"/>
        <v>3154.5454545454545</v>
      </c>
      <c r="V8" s="7" t="s">
        <v>116</v>
      </c>
      <c r="W8" s="2" t="str">
        <f t="shared" si="16"/>
        <v/>
      </c>
      <c r="Y8" s="2" t="s">
        <v>117</v>
      </c>
      <c r="Z8" s="9">
        <v>8.3333333333333329E-2</v>
      </c>
      <c r="AA8" s="9">
        <v>0.27083333333333331</v>
      </c>
      <c r="AB8" s="12" t="s">
        <v>115</v>
      </c>
      <c r="AC8" s="11">
        <f t="shared" si="17"/>
        <v>0.20833333333333334</v>
      </c>
      <c r="AD8" s="15">
        <f t="shared" si="7"/>
        <v>550</v>
      </c>
      <c r="AE8" s="15">
        <f t="shared" si="18"/>
        <v>50</v>
      </c>
      <c r="AF8" s="10" t="s">
        <v>115</v>
      </c>
      <c r="AG8" s="25" t="s">
        <v>118</v>
      </c>
    </row>
    <row r="9" spans="1:41">
      <c r="A9">
        <v>8</v>
      </c>
      <c r="B9" t="s">
        <v>77</v>
      </c>
      <c r="C9" t="s">
        <v>78</v>
      </c>
      <c r="D9" t="s">
        <v>64</v>
      </c>
      <c r="E9" t="s">
        <v>63</v>
      </c>
      <c r="F9" s="30">
        <v>45868</v>
      </c>
      <c r="G9" s="30">
        <v>45870</v>
      </c>
      <c r="H9" s="1" t="str">
        <f t="shared" si="0"/>
        <v>Jul</v>
      </c>
      <c r="I9" s="30">
        <f t="shared" si="1"/>
        <v>45924</v>
      </c>
      <c r="J9" s="1">
        <v>45919</v>
      </c>
      <c r="K9" s="1" t="s">
        <v>120</v>
      </c>
      <c r="L9" s="30">
        <v>45903</v>
      </c>
      <c r="M9" s="2">
        <v>900000</v>
      </c>
      <c r="N9" s="2">
        <v>990000</v>
      </c>
      <c r="O9" s="2">
        <v>1100000</v>
      </c>
      <c r="P9" s="3">
        <f t="shared" si="11"/>
        <v>4.7142857142857144</v>
      </c>
      <c r="Q9" t="s">
        <v>114</v>
      </c>
      <c r="R9" s="7" t="s">
        <v>115</v>
      </c>
      <c r="S9" s="2">
        <v>3470</v>
      </c>
      <c r="T9" s="2">
        <f t="shared" si="14"/>
        <v>315.45454545454544</v>
      </c>
      <c r="U9" s="2">
        <f t="shared" si="15"/>
        <v>3154.5454545454545</v>
      </c>
      <c r="V9" s="7" t="s">
        <v>115</v>
      </c>
      <c r="W9" s="2">
        <f t="shared" si="16"/>
        <v>315.4545454545455</v>
      </c>
      <c r="X9" s="2" t="s">
        <v>115</v>
      </c>
      <c r="Y9" s="2" t="s">
        <v>117</v>
      </c>
      <c r="Z9" s="9">
        <v>0.58333333333333337</v>
      </c>
      <c r="AA9" s="9">
        <v>0.66666666666666663</v>
      </c>
      <c r="AB9" s="12" t="s">
        <v>115</v>
      </c>
      <c r="AC9" s="11">
        <f t="shared" si="17"/>
        <v>0.10416666666666659</v>
      </c>
      <c r="AD9" s="15">
        <f t="shared" si="7"/>
        <v>274.99999999999983</v>
      </c>
      <c r="AE9" s="15">
        <f t="shared" si="18"/>
        <v>24.999999999999986</v>
      </c>
      <c r="AF9" s="10" t="s">
        <v>115</v>
      </c>
      <c r="AG9" s="17" t="s">
        <v>122</v>
      </c>
    </row>
    <row r="10" spans="1:41">
      <c r="A10">
        <v>9</v>
      </c>
      <c r="B10" t="s">
        <v>79</v>
      </c>
      <c r="C10" t="s">
        <v>62</v>
      </c>
      <c r="D10" t="s">
        <v>70</v>
      </c>
      <c r="E10" t="s">
        <v>80</v>
      </c>
      <c r="F10" s="30">
        <v>45870</v>
      </c>
      <c r="G10" s="30">
        <v>45884</v>
      </c>
      <c r="H10" s="1" t="str">
        <f>IF(F10="","",TEXT(F10,"MMM"))</f>
        <v>Aug</v>
      </c>
      <c r="I10" s="30">
        <f>F10+56</f>
        <v>45926</v>
      </c>
      <c r="J10" s="1">
        <v>45930</v>
      </c>
      <c r="K10" s="1" t="s">
        <v>120</v>
      </c>
      <c r="L10" s="30">
        <v>45913</v>
      </c>
      <c r="M10" s="2">
        <v>680000</v>
      </c>
      <c r="N10" s="2">
        <v>740000</v>
      </c>
      <c r="O10" s="2">
        <v>812000</v>
      </c>
      <c r="P10" s="3">
        <f t="shared" si="11"/>
        <v>4.1428571428571432</v>
      </c>
      <c r="Q10" t="s">
        <v>114</v>
      </c>
      <c r="R10" s="7" t="s">
        <v>115</v>
      </c>
      <c r="S10" s="2">
        <v>2640</v>
      </c>
      <c r="T10" s="2">
        <f t="shared" ref="T10" si="19">IF(S10="","",IF(Q10="EFT",S10/11,""))</f>
        <v>240</v>
      </c>
      <c r="U10" s="2">
        <f t="shared" ref="U10" si="20">IF(T10="",S10,S10-T10)</f>
        <v>2400</v>
      </c>
      <c r="V10" s="7" t="s">
        <v>115</v>
      </c>
      <c r="W10" s="2">
        <f t="shared" ref="W10" si="21">IF(V10="Y",U10*0.1,"")</f>
        <v>240</v>
      </c>
      <c r="X10" s="2" t="s">
        <v>115</v>
      </c>
      <c r="Y10" s="2" t="s">
        <v>117</v>
      </c>
      <c r="Z10" s="9">
        <v>0.52083333333333337</v>
      </c>
      <c r="AA10" s="9">
        <v>0.60416666666666663</v>
      </c>
      <c r="AB10" s="12" t="s">
        <v>115</v>
      </c>
      <c r="AC10" s="11">
        <f t="shared" si="17"/>
        <v>0.10416666666666659</v>
      </c>
      <c r="AD10" s="15">
        <f t="shared" si="7"/>
        <v>274.99999999999983</v>
      </c>
      <c r="AE10" s="15">
        <f t="shared" si="18"/>
        <v>24.999999999999986</v>
      </c>
      <c r="AF10" s="10" t="s">
        <v>115</v>
      </c>
      <c r="AG10" s="17" t="s">
        <v>122</v>
      </c>
    </row>
    <row r="11" spans="1:41">
      <c r="A11">
        <v>10</v>
      </c>
      <c r="B11" t="s">
        <v>81</v>
      </c>
      <c r="C11" t="s">
        <v>76</v>
      </c>
      <c r="D11" t="s">
        <v>74</v>
      </c>
      <c r="E11" t="s">
        <v>73</v>
      </c>
      <c r="F11" s="30">
        <v>45871</v>
      </c>
      <c r="G11" s="30">
        <v>45875</v>
      </c>
      <c r="H11" s="1" t="str">
        <f t="shared" si="0"/>
        <v>Aug</v>
      </c>
      <c r="I11" s="30">
        <f t="shared" si="1"/>
        <v>45927</v>
      </c>
      <c r="J11" s="1">
        <v>45938</v>
      </c>
      <c r="K11" s="1" t="s">
        <v>113</v>
      </c>
      <c r="L11" s="30">
        <v>45901</v>
      </c>
      <c r="M11" s="2">
        <v>630000</v>
      </c>
      <c r="N11" s="2">
        <v>680000</v>
      </c>
      <c r="O11" s="2">
        <v>660000</v>
      </c>
      <c r="P11" s="3">
        <f t="shared" si="11"/>
        <v>3.7142857142857144</v>
      </c>
      <c r="Q11" t="s">
        <v>114</v>
      </c>
      <c r="R11" s="7" t="s">
        <v>115</v>
      </c>
      <c r="S11" s="2">
        <v>2600</v>
      </c>
      <c r="T11" s="2">
        <f t="shared" si="14"/>
        <v>236.36363636363637</v>
      </c>
      <c r="U11" s="2">
        <f t="shared" si="15"/>
        <v>2363.6363636363635</v>
      </c>
      <c r="V11" s="7" t="s">
        <v>116</v>
      </c>
      <c r="W11" s="2" t="str">
        <f t="shared" si="16"/>
        <v/>
      </c>
      <c r="Y11" s="2" t="s">
        <v>117</v>
      </c>
      <c r="Z11" s="9">
        <v>0.54166666666666663</v>
      </c>
      <c r="AA11" s="9">
        <v>0.6875</v>
      </c>
      <c r="AB11" s="12" t="s">
        <v>115</v>
      </c>
      <c r="AC11" s="11">
        <f t="shared" ref="AC11:AC14" si="22">IF(AB11="Y",(AA11-Z11)+(0.5/24),(AA11-Z11))</f>
        <v>0.16666666666666671</v>
      </c>
      <c r="AD11" s="15">
        <f t="shared" si="7"/>
        <v>440.00000000000011</v>
      </c>
      <c r="AE11" s="15">
        <f t="shared" ref="AE11:AE15" si="23">IF(AD11="","",AD11/11)</f>
        <v>40.000000000000007</v>
      </c>
      <c r="AF11" s="10" t="s">
        <v>115</v>
      </c>
      <c r="AG11" s="17" t="s">
        <v>122</v>
      </c>
    </row>
    <row r="12" spans="1:41">
      <c r="A12">
        <v>11</v>
      </c>
      <c r="B12" t="s">
        <v>82</v>
      </c>
      <c r="C12" t="s">
        <v>78</v>
      </c>
      <c r="D12" t="s">
        <v>64</v>
      </c>
      <c r="E12" t="s">
        <v>63</v>
      </c>
      <c r="F12" s="30">
        <v>45873</v>
      </c>
      <c r="G12" s="30">
        <v>45875</v>
      </c>
      <c r="H12" s="1" t="str">
        <f t="shared" si="0"/>
        <v>Aug</v>
      </c>
      <c r="I12" s="30">
        <f t="shared" si="1"/>
        <v>45929</v>
      </c>
      <c r="J12" s="1">
        <v>45919</v>
      </c>
      <c r="K12" s="1" t="s">
        <v>120</v>
      </c>
      <c r="L12" s="30">
        <v>45899</v>
      </c>
      <c r="M12" s="2">
        <v>1000000</v>
      </c>
      <c r="N12" s="2">
        <v>1100000</v>
      </c>
      <c r="O12" s="2">
        <v>1165000</v>
      </c>
      <c r="P12" s="3">
        <f t="shared" si="11"/>
        <v>3.4285714285714284</v>
      </c>
      <c r="Q12" t="s">
        <v>123</v>
      </c>
      <c r="R12" s="7" t="s">
        <v>115</v>
      </c>
      <c r="S12" s="2">
        <v>2800</v>
      </c>
      <c r="T12" s="2" t="str">
        <f t="shared" si="14"/>
        <v/>
      </c>
      <c r="U12" s="2">
        <f t="shared" si="15"/>
        <v>2800</v>
      </c>
      <c r="V12" s="7" t="s">
        <v>115</v>
      </c>
      <c r="W12" s="2">
        <f t="shared" si="16"/>
        <v>280</v>
      </c>
      <c r="X12" s="2" t="s">
        <v>115</v>
      </c>
      <c r="Y12" s="2" t="s">
        <v>117</v>
      </c>
      <c r="Z12" s="9">
        <v>0.41666666666666669</v>
      </c>
      <c r="AA12" s="9">
        <v>0.52083333333333337</v>
      </c>
      <c r="AB12" s="12" t="s">
        <v>115</v>
      </c>
      <c r="AC12" s="11">
        <f t="shared" si="22"/>
        <v>0.12500000000000003</v>
      </c>
      <c r="AD12" s="15">
        <f t="shared" si="7"/>
        <v>330.00000000000011</v>
      </c>
      <c r="AE12" s="15">
        <f t="shared" si="23"/>
        <v>30.000000000000011</v>
      </c>
      <c r="AF12" s="10" t="s">
        <v>115</v>
      </c>
      <c r="AG12" s="17" t="s">
        <v>122</v>
      </c>
    </row>
    <row r="13" spans="1:41">
      <c r="A13">
        <v>12</v>
      </c>
      <c r="B13" t="s">
        <v>83</v>
      </c>
      <c r="C13" t="s">
        <v>84</v>
      </c>
      <c r="D13" t="s">
        <v>70</v>
      </c>
      <c r="E13" t="s">
        <v>69</v>
      </c>
      <c r="F13" s="30">
        <v>45875</v>
      </c>
      <c r="G13" s="30">
        <v>45877</v>
      </c>
      <c r="H13" s="1" t="str">
        <f t="shared" si="0"/>
        <v>Aug</v>
      </c>
      <c r="I13" s="30">
        <f t="shared" si="1"/>
        <v>45931</v>
      </c>
      <c r="J13" s="1">
        <v>45932</v>
      </c>
      <c r="K13" s="1" t="s">
        <v>120</v>
      </c>
      <c r="L13" s="30">
        <v>45900</v>
      </c>
      <c r="M13" s="2">
        <v>800000</v>
      </c>
      <c r="N13" s="2">
        <v>880000</v>
      </c>
      <c r="O13" s="2">
        <v>892500</v>
      </c>
      <c r="P13" s="3">
        <f t="shared" si="11"/>
        <v>3.2857142857142856</v>
      </c>
      <c r="Q13" t="s">
        <v>114</v>
      </c>
      <c r="R13" s="7" t="s">
        <v>115</v>
      </c>
      <c r="S13" s="2">
        <v>2310</v>
      </c>
      <c r="T13" s="2">
        <f t="shared" si="14"/>
        <v>210</v>
      </c>
      <c r="U13" s="2">
        <f t="shared" ref="U13:U16" si="24">IF(T13="",S13,S13-T13)</f>
        <v>2100</v>
      </c>
      <c r="V13" s="7" t="s">
        <v>115</v>
      </c>
      <c r="W13" s="2">
        <f t="shared" ref="W13:W22" si="25">IF(V13="Y",U13*0.1,"")</f>
        <v>210</v>
      </c>
      <c r="X13" s="2" t="s">
        <v>115</v>
      </c>
      <c r="Y13" s="2" t="s">
        <v>117</v>
      </c>
      <c r="Z13" s="9">
        <v>0.41666666666666669</v>
      </c>
      <c r="AA13" s="9">
        <v>0.625</v>
      </c>
      <c r="AB13" s="12" t="s">
        <v>115</v>
      </c>
      <c r="AC13" s="11">
        <f t="shared" si="22"/>
        <v>0.22916666666666666</v>
      </c>
      <c r="AD13" s="15">
        <f t="shared" si="7"/>
        <v>605</v>
      </c>
      <c r="AE13" s="15">
        <f t="shared" si="23"/>
        <v>55</v>
      </c>
      <c r="AF13" s="10" t="s">
        <v>115</v>
      </c>
      <c r="AG13" s="17" t="s">
        <v>122</v>
      </c>
    </row>
    <row r="14" spans="1:41">
      <c r="A14">
        <v>13</v>
      </c>
      <c r="B14" t="s">
        <v>85</v>
      </c>
      <c r="C14" t="s">
        <v>78</v>
      </c>
      <c r="D14" t="s">
        <v>70</v>
      </c>
      <c r="E14" t="s">
        <v>69</v>
      </c>
      <c r="F14" s="30">
        <v>45875</v>
      </c>
      <c r="G14" s="30">
        <v>45877</v>
      </c>
      <c r="H14" s="1" t="str">
        <f t="shared" si="0"/>
        <v>Aug</v>
      </c>
      <c r="I14" s="30">
        <f t="shared" si="1"/>
        <v>45931</v>
      </c>
      <c r="J14" s="1">
        <v>45932</v>
      </c>
      <c r="K14" s="1" t="s">
        <v>120</v>
      </c>
      <c r="L14" s="30">
        <v>45899</v>
      </c>
      <c r="M14" s="2">
        <v>830000</v>
      </c>
      <c r="N14" s="2">
        <v>910000</v>
      </c>
      <c r="O14" s="2">
        <v>1000000</v>
      </c>
      <c r="P14" s="3">
        <f t="shared" si="11"/>
        <v>3.1428571428571428</v>
      </c>
      <c r="Q14" t="s">
        <v>114</v>
      </c>
      <c r="R14" s="7" t="s">
        <v>115</v>
      </c>
      <c r="S14" s="2">
        <v>3470</v>
      </c>
      <c r="T14" s="2">
        <f t="shared" si="14"/>
        <v>315.45454545454544</v>
      </c>
      <c r="U14" s="2">
        <f t="shared" si="24"/>
        <v>3154.5454545454545</v>
      </c>
      <c r="V14" s="7" t="s">
        <v>115</v>
      </c>
      <c r="W14" s="2">
        <f t="shared" si="25"/>
        <v>315.4545454545455</v>
      </c>
      <c r="X14" s="2" t="s">
        <v>115</v>
      </c>
      <c r="Y14" s="2" t="s">
        <v>117</v>
      </c>
      <c r="AC14" s="11">
        <f t="shared" si="22"/>
        <v>0</v>
      </c>
      <c r="AD14" s="15">
        <f t="shared" si="7"/>
        <v>0</v>
      </c>
      <c r="AE14" s="15">
        <f t="shared" si="23"/>
        <v>0</v>
      </c>
      <c r="AF14" s="10" t="s">
        <v>115</v>
      </c>
      <c r="AH14" t="s">
        <v>124</v>
      </c>
    </row>
    <row r="15" spans="1:41">
      <c r="A15">
        <v>14</v>
      </c>
      <c r="B15" t="s">
        <v>86</v>
      </c>
      <c r="C15" t="s">
        <v>78</v>
      </c>
      <c r="D15" t="s">
        <v>64</v>
      </c>
      <c r="E15" t="s">
        <v>63</v>
      </c>
      <c r="F15" s="30">
        <v>45886</v>
      </c>
      <c r="G15" s="30">
        <v>45895</v>
      </c>
      <c r="H15" s="1" t="str">
        <f t="shared" si="0"/>
        <v>Aug</v>
      </c>
      <c r="I15" s="30">
        <f t="shared" si="1"/>
        <v>45942</v>
      </c>
      <c r="J15" s="1">
        <v>45932</v>
      </c>
      <c r="K15" s="1" t="s">
        <v>120</v>
      </c>
      <c r="L15" s="30">
        <v>45920</v>
      </c>
      <c r="M15" s="2">
        <v>780000</v>
      </c>
      <c r="N15" s="2">
        <v>850000</v>
      </c>
      <c r="O15" s="2">
        <v>988000</v>
      </c>
      <c r="P15" s="3">
        <f t="shared" si="11"/>
        <v>3.5714285714285716</v>
      </c>
      <c r="Q15" t="s">
        <v>114</v>
      </c>
      <c r="R15" s="7" t="s">
        <v>115</v>
      </c>
      <c r="S15" s="2">
        <v>1600</v>
      </c>
      <c r="T15" s="2">
        <f t="shared" si="14"/>
        <v>145.45454545454547</v>
      </c>
      <c r="U15" s="2">
        <f t="shared" si="24"/>
        <v>1454.5454545454545</v>
      </c>
      <c r="V15" s="7" t="s">
        <v>115</v>
      </c>
      <c r="W15" s="2">
        <f t="shared" si="25"/>
        <v>145.45454545454547</v>
      </c>
      <c r="Y15" s="2" t="s">
        <v>117</v>
      </c>
      <c r="AB15" s="12" t="s">
        <v>115</v>
      </c>
      <c r="AC15" s="11">
        <v>0.20833333333333334</v>
      </c>
      <c r="AD15" s="15">
        <f t="shared" si="7"/>
        <v>550</v>
      </c>
      <c r="AE15" s="15">
        <f t="shared" si="23"/>
        <v>50</v>
      </c>
      <c r="AF15" s="10" t="s">
        <v>115</v>
      </c>
    </row>
    <row r="16" spans="1:41">
      <c r="A16">
        <v>15</v>
      </c>
      <c r="B16" t="s">
        <v>87</v>
      </c>
      <c r="C16" t="s">
        <v>88</v>
      </c>
      <c r="D16" t="s">
        <v>90</v>
      </c>
      <c r="E16" t="s">
        <v>89</v>
      </c>
      <c r="F16" s="30">
        <v>45903</v>
      </c>
      <c r="G16" s="30">
        <v>45912</v>
      </c>
      <c r="H16" s="1" t="str">
        <f t="shared" si="0"/>
        <v>Sep</v>
      </c>
      <c r="I16" s="30">
        <f t="shared" si="1"/>
        <v>45959</v>
      </c>
      <c r="K16" s="1" t="s">
        <v>113</v>
      </c>
      <c r="M16" s="2">
        <v>600000</v>
      </c>
      <c r="N16" s="2">
        <v>639000</v>
      </c>
      <c r="Q16" t="s">
        <v>114</v>
      </c>
      <c r="R16" s="7" t="s">
        <v>115</v>
      </c>
      <c r="S16" s="2">
        <v>3040</v>
      </c>
      <c r="T16" s="2">
        <f t="shared" si="14"/>
        <v>276.36363636363637</v>
      </c>
      <c r="U16" s="2">
        <f t="shared" si="24"/>
        <v>2763.6363636363635</v>
      </c>
      <c r="V16" s="7" t="s">
        <v>116</v>
      </c>
      <c r="W16" s="2" t="str">
        <f t="shared" si="25"/>
        <v/>
      </c>
      <c r="Y16" s="2" t="s">
        <v>117</v>
      </c>
      <c r="Z16" s="9">
        <v>0.64583333333333337</v>
      </c>
      <c r="AA16" s="9">
        <v>0.79166666666666663</v>
      </c>
      <c r="AB16" s="12" t="s">
        <v>115</v>
      </c>
      <c r="AC16" s="11">
        <f t="shared" ref="AC16" si="26">IF(AB16="Y",(AA16-Z16)+(0.5/24),(AA16-Z16))</f>
        <v>0.1666666666666666</v>
      </c>
      <c r="AD16" s="15">
        <f t="shared" si="7"/>
        <v>439.99999999999983</v>
      </c>
      <c r="AE16" s="15">
        <f t="shared" ref="AE16" si="27">IF(AD16="","",AD16/11)</f>
        <v>39.999999999999986</v>
      </c>
      <c r="AF16" s="10" t="s">
        <v>115</v>
      </c>
    </row>
    <row r="17" spans="1:34">
      <c r="A17">
        <v>16</v>
      </c>
      <c r="B17" t="s">
        <v>91</v>
      </c>
      <c r="C17" t="s">
        <v>78</v>
      </c>
      <c r="D17" t="s">
        <v>64</v>
      </c>
      <c r="E17" t="s">
        <v>92</v>
      </c>
      <c r="F17" s="30">
        <v>45919</v>
      </c>
      <c r="G17" s="30">
        <v>13050</v>
      </c>
      <c r="H17" s="1" t="str">
        <f t="shared" si="0"/>
        <v>Sep</v>
      </c>
      <c r="I17" s="30">
        <f t="shared" si="1"/>
        <v>45975</v>
      </c>
      <c r="J17" s="1">
        <v>45959</v>
      </c>
      <c r="K17" s="1" t="s">
        <v>120</v>
      </c>
      <c r="L17" s="30">
        <v>45948</v>
      </c>
      <c r="M17" s="2">
        <v>520000</v>
      </c>
      <c r="N17" s="2">
        <v>570000</v>
      </c>
      <c r="O17" s="2">
        <v>639000</v>
      </c>
      <c r="Q17" t="s">
        <v>114</v>
      </c>
      <c r="R17" s="7" t="s">
        <v>115</v>
      </c>
      <c r="S17" s="2">
        <v>1950</v>
      </c>
      <c r="T17" s="2">
        <f t="shared" ref="T17:T19" si="28">IF(S17="","",IF(Q17="EFT",S17/11,""))</f>
        <v>177.27272727272728</v>
      </c>
      <c r="U17" s="2">
        <f t="shared" ref="U17:U19" si="29">IF(T17="",S17,S17-T17)</f>
        <v>1772.7272727272727</v>
      </c>
      <c r="V17" s="7" t="s">
        <v>115</v>
      </c>
      <c r="W17" s="2">
        <f t="shared" si="25"/>
        <v>177.27272727272728</v>
      </c>
      <c r="X17" s="2" t="s">
        <v>115</v>
      </c>
      <c r="Y17" s="2" t="s">
        <v>117</v>
      </c>
      <c r="Z17" s="9">
        <v>0.39583333333333331</v>
      </c>
      <c r="AA17" s="9">
        <v>0.625</v>
      </c>
      <c r="AB17" s="12" t="s">
        <v>115</v>
      </c>
      <c r="AC17" s="11">
        <f t="shared" ref="AC17:AC22" si="30">IF(AB17="Y",(AA17-Z17)+(0.5/24),(AA17-Z17))</f>
        <v>0.25</v>
      </c>
      <c r="AD17" s="15">
        <f t="shared" si="7"/>
        <v>660</v>
      </c>
      <c r="AE17" s="15">
        <f t="shared" ref="AE17:AE22" si="31">IF(AD17="","",AD17/11)</f>
        <v>60</v>
      </c>
      <c r="AF17" s="10" t="s">
        <v>115</v>
      </c>
    </row>
    <row r="18" spans="1:34">
      <c r="A18">
        <v>17</v>
      </c>
      <c r="B18" t="s">
        <v>93</v>
      </c>
      <c r="C18" t="s">
        <v>62</v>
      </c>
      <c r="D18" t="s">
        <v>64</v>
      </c>
      <c r="E18" t="s">
        <v>63</v>
      </c>
      <c r="F18" s="30">
        <v>45919</v>
      </c>
      <c r="G18" s="30">
        <v>45924</v>
      </c>
      <c r="H18" s="1" t="str">
        <f t="shared" si="0"/>
        <v>Sep</v>
      </c>
      <c r="I18" s="30">
        <f t="shared" si="1"/>
        <v>45975</v>
      </c>
      <c r="K18" s="1" t="s">
        <v>120</v>
      </c>
      <c r="L18" s="30">
        <v>45948</v>
      </c>
      <c r="M18" s="2">
        <v>980000</v>
      </c>
      <c r="N18" s="2">
        <v>1050000</v>
      </c>
      <c r="O18" s="2">
        <v>1120000</v>
      </c>
      <c r="Q18" t="s">
        <v>114</v>
      </c>
      <c r="R18" s="7" t="s">
        <v>115</v>
      </c>
      <c r="S18" s="2">
        <v>4339.5</v>
      </c>
      <c r="T18" s="2">
        <f t="shared" si="28"/>
        <v>394.5</v>
      </c>
      <c r="U18" s="2">
        <f t="shared" si="29"/>
        <v>3945</v>
      </c>
      <c r="V18" s="7" t="s">
        <v>115</v>
      </c>
      <c r="W18" s="2">
        <f t="shared" si="25"/>
        <v>394.5</v>
      </c>
      <c r="X18" s="2" t="s">
        <v>115</v>
      </c>
      <c r="Y18" s="2" t="s">
        <v>117</v>
      </c>
      <c r="AC18" s="11">
        <f t="shared" si="30"/>
        <v>0</v>
      </c>
      <c r="AD18" s="15">
        <f t="shared" si="7"/>
        <v>0</v>
      </c>
      <c r="AE18" s="15">
        <f t="shared" si="31"/>
        <v>0</v>
      </c>
      <c r="AF18" s="10" t="s">
        <v>115</v>
      </c>
      <c r="AH18" t="s">
        <v>125</v>
      </c>
    </row>
    <row r="19" spans="1:34">
      <c r="A19">
        <v>18</v>
      </c>
      <c r="B19" t="s">
        <v>94</v>
      </c>
      <c r="C19" t="s">
        <v>95</v>
      </c>
      <c r="D19" t="s">
        <v>97</v>
      </c>
      <c r="E19" t="s">
        <v>96</v>
      </c>
      <c r="F19" s="30">
        <v>45926</v>
      </c>
      <c r="G19" s="30">
        <v>45932</v>
      </c>
      <c r="H19" s="1" t="str">
        <f t="shared" si="0"/>
        <v>Sep</v>
      </c>
      <c r="I19" s="30">
        <f t="shared" si="1"/>
        <v>45982</v>
      </c>
      <c r="K19" s="1" t="s">
        <v>113</v>
      </c>
      <c r="M19" s="2">
        <v>1100000</v>
      </c>
      <c r="N19" s="2">
        <v>1150000</v>
      </c>
      <c r="Q19" t="s">
        <v>114</v>
      </c>
      <c r="R19" s="7" t="s">
        <v>115</v>
      </c>
      <c r="S19" s="2">
        <v>4900</v>
      </c>
      <c r="T19" s="2">
        <f t="shared" si="28"/>
        <v>445.45454545454544</v>
      </c>
      <c r="U19" s="2">
        <f t="shared" si="29"/>
        <v>4454.545454545455</v>
      </c>
      <c r="V19" s="7" t="s">
        <v>116</v>
      </c>
      <c r="W19" s="2" t="str">
        <f t="shared" si="25"/>
        <v/>
      </c>
      <c r="Y19" s="2" t="s">
        <v>117</v>
      </c>
      <c r="Z19" s="9">
        <v>0.45833333333333331</v>
      </c>
      <c r="AA19" s="9">
        <v>0.72916666666666663</v>
      </c>
      <c r="AB19" s="12" t="s">
        <v>115</v>
      </c>
      <c r="AC19" s="11">
        <f t="shared" si="30"/>
        <v>0.29166666666666663</v>
      </c>
      <c r="AD19" s="15">
        <f t="shared" si="7"/>
        <v>769.99999999999989</v>
      </c>
      <c r="AE19" s="15">
        <f t="shared" si="31"/>
        <v>69.999999999999986</v>
      </c>
      <c r="AF19" s="10" t="s">
        <v>115</v>
      </c>
    </row>
    <row r="20" spans="1:34">
      <c r="A20">
        <v>19</v>
      </c>
      <c r="B20" t="s">
        <v>98</v>
      </c>
      <c r="C20" t="s">
        <v>99</v>
      </c>
      <c r="D20" t="s">
        <v>64</v>
      </c>
      <c r="E20" t="s">
        <v>63</v>
      </c>
      <c r="F20" s="30">
        <v>45930</v>
      </c>
      <c r="G20" s="30">
        <v>45930</v>
      </c>
      <c r="H20" s="1" t="str">
        <f t="shared" si="0"/>
        <v>Sep</v>
      </c>
      <c r="I20" s="30">
        <f t="shared" si="1"/>
        <v>45986</v>
      </c>
      <c r="K20" s="1" t="s">
        <v>120</v>
      </c>
      <c r="L20" s="30">
        <v>45962</v>
      </c>
      <c r="M20" s="2">
        <v>880000</v>
      </c>
      <c r="N20" s="2">
        <v>950000</v>
      </c>
      <c r="Q20" t="s">
        <v>114</v>
      </c>
      <c r="R20" s="7" t="s">
        <v>115</v>
      </c>
      <c r="S20" s="2">
        <v>2770</v>
      </c>
      <c r="T20" s="2">
        <f t="shared" ref="T20:T22" si="32">IF(S20="","",IF(Q20="EFT",S20/11,""))</f>
        <v>251.81818181818181</v>
      </c>
      <c r="U20" s="2">
        <f t="shared" ref="U20:U22" si="33">IF(T20="",S20,S20-T20)</f>
        <v>2518.181818181818</v>
      </c>
      <c r="V20" s="7" t="s">
        <v>115</v>
      </c>
      <c r="W20" s="2">
        <f t="shared" si="25"/>
        <v>251.81818181818181</v>
      </c>
      <c r="Y20" s="2" t="s">
        <v>117</v>
      </c>
      <c r="Z20" s="9">
        <v>0.58333333333333337</v>
      </c>
      <c r="AA20" s="9">
        <v>0.66666666666666663</v>
      </c>
      <c r="AB20" s="12" t="s">
        <v>115</v>
      </c>
      <c r="AC20" s="11">
        <f t="shared" si="30"/>
        <v>0.10416666666666659</v>
      </c>
      <c r="AD20" s="15">
        <f t="shared" si="7"/>
        <v>274.99999999999983</v>
      </c>
      <c r="AE20" s="15">
        <f t="shared" si="31"/>
        <v>24.999999999999986</v>
      </c>
      <c r="AF20" s="10" t="s">
        <v>115</v>
      </c>
    </row>
    <row r="21" spans="1:34">
      <c r="A21">
        <v>20</v>
      </c>
      <c r="B21" t="s">
        <v>100</v>
      </c>
      <c r="C21" t="s">
        <v>76</v>
      </c>
      <c r="D21" t="s">
        <v>74</v>
      </c>
      <c r="E21" t="s">
        <v>73</v>
      </c>
      <c r="F21" s="30">
        <v>45938</v>
      </c>
      <c r="G21" s="30">
        <v>45940</v>
      </c>
      <c r="H21" s="1" t="str">
        <f t="shared" si="0"/>
        <v>Oct</v>
      </c>
      <c r="I21" s="30">
        <f t="shared" si="1"/>
        <v>45994</v>
      </c>
      <c r="K21" s="1" t="s">
        <v>113</v>
      </c>
      <c r="M21" s="2">
        <v>769000</v>
      </c>
      <c r="N21" s="2">
        <v>789000</v>
      </c>
      <c r="Q21" t="s">
        <v>114</v>
      </c>
      <c r="R21" s="7" t="s">
        <v>115</v>
      </c>
      <c r="S21" s="2">
        <v>3500</v>
      </c>
      <c r="T21" s="2">
        <f t="shared" si="32"/>
        <v>318.18181818181819</v>
      </c>
      <c r="U21" s="2">
        <f t="shared" si="33"/>
        <v>3181.818181818182</v>
      </c>
      <c r="V21" s="7" t="s">
        <v>116</v>
      </c>
      <c r="W21" s="2" t="str">
        <f t="shared" si="25"/>
        <v/>
      </c>
      <c r="Y21" s="2" t="s">
        <v>117</v>
      </c>
      <c r="Z21" s="9">
        <v>0.54166666666666663</v>
      </c>
      <c r="AA21" s="9">
        <v>0.6875</v>
      </c>
      <c r="AB21" s="12" t="s">
        <v>115</v>
      </c>
      <c r="AC21" s="11">
        <f t="shared" si="30"/>
        <v>0.16666666666666671</v>
      </c>
      <c r="AD21" s="15">
        <f t="shared" si="7"/>
        <v>440.00000000000011</v>
      </c>
      <c r="AE21" s="15">
        <f t="shared" si="31"/>
        <v>40.000000000000007</v>
      </c>
      <c r="AF21" s="10" t="s">
        <v>115</v>
      </c>
    </row>
    <row r="22" spans="1:34">
      <c r="A22">
        <v>21</v>
      </c>
      <c r="B22" t="s">
        <v>101</v>
      </c>
      <c r="C22" t="s">
        <v>62</v>
      </c>
      <c r="D22" t="s">
        <v>64</v>
      </c>
      <c r="E22" t="s">
        <v>63</v>
      </c>
      <c r="F22" s="1">
        <v>45959</v>
      </c>
      <c r="G22" s="30">
        <v>45960</v>
      </c>
      <c r="H22" s="1" t="str">
        <f t="shared" si="0"/>
        <v>Oct</v>
      </c>
      <c r="I22" s="30">
        <f t="shared" si="1"/>
        <v>46015</v>
      </c>
      <c r="K22" s="1" t="s">
        <v>120</v>
      </c>
      <c r="L22" s="30">
        <v>45990</v>
      </c>
      <c r="M22" s="2">
        <v>550000</v>
      </c>
      <c r="N22" s="2">
        <v>590000</v>
      </c>
      <c r="Q22" t="s">
        <v>114</v>
      </c>
      <c r="R22" s="7" t="s">
        <v>116</v>
      </c>
      <c r="S22" s="2">
        <v>2310</v>
      </c>
      <c r="T22" s="2">
        <f t="shared" si="32"/>
        <v>210</v>
      </c>
      <c r="U22" s="2">
        <f t="shared" si="33"/>
        <v>2100</v>
      </c>
      <c r="V22" s="7" t="s">
        <v>115</v>
      </c>
      <c r="W22" s="2">
        <f t="shared" si="25"/>
        <v>210</v>
      </c>
      <c r="Y22" s="2" t="s">
        <v>117</v>
      </c>
      <c r="Z22" s="9">
        <v>0.5</v>
      </c>
      <c r="AA22" s="9">
        <v>0.58333333333333337</v>
      </c>
      <c r="AB22" s="12" t="s">
        <v>116</v>
      </c>
      <c r="AC22" s="11">
        <f t="shared" si="30"/>
        <v>8.333333333333337E-2</v>
      </c>
      <c r="AD22" s="15">
        <v>242</v>
      </c>
      <c r="AE22" s="15">
        <f t="shared" si="31"/>
        <v>22</v>
      </c>
      <c r="AF22" s="7" t="s">
        <v>115</v>
      </c>
      <c r="AH22" t="s">
        <v>126</v>
      </c>
    </row>
  </sheetData>
  <autoFilter ref="A1:AH21" xr:uid="{00000000-0001-0000-0000-000000000000}"/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50CF-9DF9-4ADD-87F9-A77A8068EF6F}">
  <dimension ref="A1:N19"/>
  <sheetViews>
    <sheetView workbookViewId="0">
      <selection activeCell="A2" sqref="A2:A11"/>
    </sheetView>
  </sheetViews>
  <sheetFormatPr defaultRowHeight="14.25"/>
  <cols>
    <col min="1" max="1" width="21.5703125" bestFit="1" customWidth="1"/>
    <col min="2" max="2" width="9" bestFit="1" customWidth="1"/>
    <col min="3" max="3" width="4.140625" bestFit="1" customWidth="1"/>
    <col min="4" max="4" width="10.5703125" bestFit="1" customWidth="1"/>
    <col min="5" max="5" width="11.28515625" customWidth="1"/>
    <col min="6" max="6" width="29.28515625" bestFit="1" customWidth="1"/>
    <col min="7" max="7" width="11.85546875" bestFit="1" customWidth="1"/>
    <col min="8" max="9" width="10.5703125" bestFit="1" customWidth="1"/>
    <col min="10" max="10" width="9" bestFit="1" customWidth="1"/>
    <col min="12" max="13" width="10.5703125" bestFit="1" customWidth="1"/>
  </cols>
  <sheetData>
    <row r="1" spans="1:14">
      <c r="A1" t="s">
        <v>127</v>
      </c>
      <c r="B1" t="s">
        <v>128</v>
      </c>
      <c r="C1" t="s">
        <v>129</v>
      </c>
      <c r="D1" t="s">
        <v>130</v>
      </c>
      <c r="E1" s="40" t="s">
        <v>131</v>
      </c>
    </row>
    <row r="2" spans="1:14">
      <c r="A2" t="s">
        <v>132</v>
      </c>
      <c r="B2" s="2">
        <v>450</v>
      </c>
      <c r="C2">
        <v>1</v>
      </c>
      <c r="D2" s="41">
        <f>B2*C2</f>
        <v>450</v>
      </c>
      <c r="E2" s="42">
        <v>450</v>
      </c>
    </row>
    <row r="3" spans="1:14">
      <c r="A3" t="s">
        <v>133</v>
      </c>
      <c r="B3" s="2">
        <v>350</v>
      </c>
      <c r="C3">
        <v>3</v>
      </c>
      <c r="D3" s="41">
        <f t="shared" ref="D3:D11" si="0">B3*C3</f>
        <v>1050</v>
      </c>
      <c r="E3" s="42">
        <v>350</v>
      </c>
    </row>
    <row r="4" spans="1:14">
      <c r="A4" t="s">
        <v>28</v>
      </c>
      <c r="B4" s="2">
        <v>450</v>
      </c>
      <c r="C4">
        <v>2</v>
      </c>
      <c r="D4" s="41">
        <f t="shared" si="0"/>
        <v>900</v>
      </c>
      <c r="E4" s="42">
        <v>450</v>
      </c>
      <c r="H4" s="7" t="s">
        <v>134</v>
      </c>
      <c r="I4" s="7" t="s">
        <v>135</v>
      </c>
      <c r="J4" s="7" t="s">
        <v>40</v>
      </c>
      <c r="L4" s="7"/>
      <c r="M4" s="7"/>
      <c r="N4" s="7"/>
    </row>
    <row r="5" spans="1:14">
      <c r="A5" t="s">
        <v>29</v>
      </c>
      <c r="B5" s="2">
        <v>350</v>
      </c>
      <c r="C5">
        <v>1</v>
      </c>
      <c r="D5" s="41">
        <f t="shared" si="0"/>
        <v>350</v>
      </c>
      <c r="E5" s="42">
        <v>350</v>
      </c>
      <c r="F5" t="s">
        <v>136</v>
      </c>
      <c r="H5" s="43">
        <f>D18-H7-H6</f>
        <v>1625</v>
      </c>
      <c r="I5" s="43">
        <f>MROUND(H5/11*10,1)</f>
        <v>1477</v>
      </c>
      <c r="J5" s="43">
        <f>MROUND(H5/11,1)</f>
        <v>148</v>
      </c>
      <c r="L5" s="43"/>
      <c r="M5" s="43"/>
      <c r="N5" s="43"/>
    </row>
    <row r="6" spans="1:14">
      <c r="A6" t="s">
        <v>30</v>
      </c>
      <c r="B6" s="2">
        <v>100</v>
      </c>
      <c r="C6">
        <v>1</v>
      </c>
      <c r="D6" s="41">
        <f t="shared" si="0"/>
        <v>100</v>
      </c>
      <c r="E6" s="42">
        <v>100</v>
      </c>
      <c r="F6" t="s">
        <v>137</v>
      </c>
      <c r="G6" t="s">
        <v>138</v>
      </c>
      <c r="H6" s="15">
        <f>IF(G6="House",715,572)</f>
        <v>715</v>
      </c>
      <c r="I6" s="43">
        <f>MROUND(H6/11*10,1)</f>
        <v>650</v>
      </c>
      <c r="J6" s="43">
        <f>MROUND(H6/11,1)</f>
        <v>65</v>
      </c>
      <c r="L6" s="15"/>
      <c r="M6" s="43"/>
      <c r="N6" s="43"/>
    </row>
    <row r="7" spans="1:14">
      <c r="A7" t="s">
        <v>31</v>
      </c>
      <c r="B7" s="2">
        <v>150</v>
      </c>
      <c r="C7">
        <v>1</v>
      </c>
      <c r="D7" s="41">
        <f t="shared" si="0"/>
        <v>150</v>
      </c>
      <c r="E7" s="42">
        <v>100</v>
      </c>
      <c r="F7" t="s">
        <v>139</v>
      </c>
      <c r="G7" t="s">
        <v>140</v>
      </c>
      <c r="H7" s="15">
        <f>IF(G7="Small", 550,860)</f>
        <v>860</v>
      </c>
      <c r="I7" s="43">
        <f>MROUND(H7/11*10,1)</f>
        <v>782</v>
      </c>
      <c r="J7" s="43">
        <f>MROUND(H7/11,1)</f>
        <v>78</v>
      </c>
      <c r="L7" s="15"/>
      <c r="M7" s="43"/>
      <c r="N7" s="43"/>
    </row>
    <row r="8" spans="1:14">
      <c r="A8" t="s">
        <v>32</v>
      </c>
      <c r="B8" s="2">
        <v>50</v>
      </c>
      <c r="C8">
        <v>2</v>
      </c>
      <c r="D8" s="41">
        <f t="shared" si="0"/>
        <v>100</v>
      </c>
      <c r="E8" s="42">
        <v>50</v>
      </c>
      <c r="F8" t="s">
        <v>141</v>
      </c>
      <c r="H8" s="43">
        <f>SUM(H5:H7)</f>
        <v>3200</v>
      </c>
      <c r="I8" s="43">
        <f t="shared" ref="I8:J8" si="1">SUM(I5:I7)</f>
        <v>2909</v>
      </c>
      <c r="J8" s="43">
        <f t="shared" si="1"/>
        <v>291</v>
      </c>
      <c r="L8" s="43"/>
      <c r="M8" s="43"/>
      <c r="N8" s="43"/>
    </row>
    <row r="9" spans="1:14">
      <c r="A9" t="s">
        <v>33</v>
      </c>
      <c r="B9" s="2">
        <v>100</v>
      </c>
      <c r="C9">
        <v>1</v>
      </c>
      <c r="D9" s="41">
        <f>B9*C9</f>
        <v>100</v>
      </c>
      <c r="E9" s="42">
        <v>100</v>
      </c>
    </row>
    <row r="10" spans="1:14">
      <c r="A10" t="s">
        <v>34</v>
      </c>
      <c r="B10" s="2">
        <v>300</v>
      </c>
      <c r="D10" s="41">
        <f t="shared" si="0"/>
        <v>0</v>
      </c>
      <c r="E10" s="42">
        <v>300</v>
      </c>
      <c r="H10" s="41"/>
    </row>
    <row r="11" spans="1:14">
      <c r="A11" t="s">
        <v>35</v>
      </c>
      <c r="B11" s="2">
        <v>300</v>
      </c>
      <c r="D11" s="41">
        <f t="shared" si="0"/>
        <v>0</v>
      </c>
      <c r="E11" s="42">
        <v>300</v>
      </c>
    </row>
    <row r="12" spans="1:14">
      <c r="E12" s="40"/>
    </row>
    <row r="13" spans="1:14">
      <c r="A13" t="s">
        <v>142</v>
      </c>
      <c r="D13" s="41">
        <f>SUM(D2:D11)</f>
        <v>3200</v>
      </c>
      <c r="E13" s="44"/>
      <c r="F13" t="s">
        <v>143</v>
      </c>
      <c r="H13" s="2"/>
    </row>
    <row r="14" spans="1:14">
      <c r="A14" t="s">
        <v>144</v>
      </c>
      <c r="B14" s="45"/>
      <c r="D14" s="41">
        <f>IF(B14="",0,D13*B14)</f>
        <v>0</v>
      </c>
    </row>
    <row r="15" spans="1:14">
      <c r="A15" t="s">
        <v>145</v>
      </c>
      <c r="B15" s="29"/>
      <c r="D15" s="41">
        <f>IF(B15="",0,D13*B15)</f>
        <v>0</v>
      </c>
      <c r="F15" t="s">
        <v>145</v>
      </c>
      <c r="H15" s="46">
        <f>1-(H13/D18)</f>
        <v>1</v>
      </c>
    </row>
    <row r="16" spans="1:14">
      <c r="A16" t="s">
        <v>146</v>
      </c>
      <c r="B16" s="29"/>
      <c r="D16" s="41">
        <f>IF(B16="",0,(D13+D14-D15)*B16)</f>
        <v>0</v>
      </c>
    </row>
    <row r="17" spans="1:4">
      <c r="B17" s="29"/>
      <c r="D17" s="41"/>
    </row>
    <row r="18" spans="1:4">
      <c r="A18" t="s">
        <v>0</v>
      </c>
      <c r="B18" s="29"/>
      <c r="D18" s="43">
        <f>MROUND(D13+D14-D15+D16,10)</f>
        <v>3200</v>
      </c>
    </row>
    <row r="19" spans="1:4">
      <c r="A19" t="s">
        <v>40</v>
      </c>
      <c r="D19" s="41">
        <f>D18/11</f>
        <v>290.90909090909093</v>
      </c>
    </row>
  </sheetData>
  <dataValidations count="2">
    <dataValidation type="list" allowBlank="1" showInputMessage="1" showErrorMessage="1" sqref="G7" xr:uid="{ECA7CA57-BF0F-4A0D-8D6E-07412E2146B4}">
      <formula1>"Small,Large"</formula1>
    </dataValidation>
    <dataValidation type="list" allowBlank="1" showInputMessage="1" showErrorMessage="1" sqref="G6" xr:uid="{B36B6452-2CAA-4DD4-BA26-E0DEAF50EC98}">
      <formula1>"House,Town House"</formula1>
    </dataValidation>
  </dataValidation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0D60-7BE8-4939-B263-56DB78F8DA44}">
  <dimension ref="A1:L24"/>
  <sheetViews>
    <sheetView workbookViewId="0">
      <pane ySplit="3" topLeftCell="A4" activePane="bottomLeft" state="frozen"/>
      <selection pane="bottomLeft" activeCell="E11" sqref="E11"/>
    </sheetView>
  </sheetViews>
  <sheetFormatPr defaultRowHeight="14.25"/>
  <cols>
    <col min="1" max="1" width="10.7109375" style="38" bestFit="1" customWidth="1"/>
    <col min="2" max="3" width="10.7109375" customWidth="1"/>
    <col min="4" max="5" width="12" style="9" bestFit="1" customWidth="1"/>
    <col min="6" max="6" width="8" style="12" bestFit="1" customWidth="1"/>
    <col min="7" max="7" width="11" style="11" bestFit="1" customWidth="1"/>
    <col min="8" max="9" width="11" style="11" customWidth="1"/>
    <col min="10" max="10" width="9.140625" style="7"/>
    <col min="11" max="11" width="11" style="17" bestFit="1" customWidth="1"/>
    <col min="12" max="12" width="63.140625" bestFit="1" customWidth="1"/>
  </cols>
  <sheetData>
    <row r="1" spans="1:12">
      <c r="D1" s="9" t="s">
        <v>45</v>
      </c>
    </row>
    <row r="2" spans="1:12">
      <c r="G2" s="11" t="s">
        <v>147</v>
      </c>
      <c r="H2" s="15">
        <f>SUBTOTAL(9,H4:H105)</f>
        <v>2622</v>
      </c>
      <c r="I2" s="15"/>
    </row>
    <row r="3" spans="1:12" s="20" customFormat="1" ht="28.5">
      <c r="A3" s="39" t="s">
        <v>148</v>
      </c>
      <c r="B3" s="20" t="s">
        <v>105</v>
      </c>
      <c r="C3" s="20" t="s">
        <v>45</v>
      </c>
      <c r="D3" s="10" t="s">
        <v>46</v>
      </c>
      <c r="E3" s="10" t="s">
        <v>47</v>
      </c>
      <c r="F3" s="14" t="s">
        <v>48</v>
      </c>
      <c r="G3" s="13" t="s">
        <v>49</v>
      </c>
      <c r="H3" s="19" t="s">
        <v>39</v>
      </c>
      <c r="I3" s="19" t="s">
        <v>40</v>
      </c>
      <c r="J3" s="10" t="s">
        <v>50</v>
      </c>
      <c r="K3" s="18" t="s">
        <v>149</v>
      </c>
      <c r="L3" s="5" t="s">
        <v>150</v>
      </c>
    </row>
    <row r="4" spans="1:12" s="20" customFormat="1">
      <c r="A4" s="39">
        <v>45864</v>
      </c>
      <c r="B4" s="1" t="str">
        <f>TEXT(A4,"MMM")</f>
        <v>Jul</v>
      </c>
      <c r="C4" s="20" t="s">
        <v>151</v>
      </c>
      <c r="D4" s="10">
        <v>0.42708333333333331</v>
      </c>
      <c r="E4" s="10">
        <v>0.61458333333333337</v>
      </c>
      <c r="F4" s="10" t="s">
        <v>115</v>
      </c>
      <c r="G4" s="11">
        <f>IF(F4="Y",(E4-D4)+(0.5/24),(E4-D4))</f>
        <v>0.2083333333333334</v>
      </c>
      <c r="H4" s="15">
        <f>IF(C4="small",G4*24*'Staging Jobs'!$AN$2,G4*24*'Staging Jobs'!$AO$2)</f>
        <v>715.00000000000023</v>
      </c>
      <c r="I4" s="15">
        <f>H4/11</f>
        <v>65.000000000000014</v>
      </c>
      <c r="J4" s="10" t="s">
        <v>115</v>
      </c>
      <c r="K4" s="25" t="s">
        <v>118</v>
      </c>
    </row>
    <row r="5" spans="1:12" s="20" customFormat="1">
      <c r="A5" s="39">
        <v>45865</v>
      </c>
      <c r="B5" s="1" t="str">
        <f t="shared" ref="B5:B14" si="0">TEXT(A5,"MMM")</f>
        <v>Jul</v>
      </c>
      <c r="C5" s="20" t="s">
        <v>151</v>
      </c>
      <c r="D5" s="10">
        <v>0.45833333333333331</v>
      </c>
      <c r="E5" s="10">
        <v>0.60416666666666663</v>
      </c>
      <c r="F5" s="10" t="s">
        <v>115</v>
      </c>
      <c r="G5" s="11">
        <f t="shared" ref="G5:G14" si="1">IF(F5="Y",(E5-D5)+(0.5/24),(E5-D5))</f>
        <v>0.16666666666666666</v>
      </c>
      <c r="H5" s="15">
        <f>IF(C5="small",G5*24*'Staging Jobs'!$AN$2,G5*24*'Staging Jobs'!$AO$2)</f>
        <v>572</v>
      </c>
      <c r="I5" s="15">
        <f t="shared" ref="I5:I14" si="2">H5/11</f>
        <v>52</v>
      </c>
      <c r="J5" s="10" t="s">
        <v>115</v>
      </c>
      <c r="K5" s="25"/>
    </row>
    <row r="6" spans="1:12" s="20" customFormat="1">
      <c r="A6" s="39">
        <v>45892</v>
      </c>
      <c r="B6" s="1" t="str">
        <f t="shared" si="0"/>
        <v>Aug</v>
      </c>
      <c r="C6" s="20" t="s">
        <v>117</v>
      </c>
      <c r="D6" s="10">
        <v>0.45833333333333331</v>
      </c>
      <c r="E6" s="10">
        <v>0.54166666666666663</v>
      </c>
      <c r="F6" s="10" t="s">
        <v>115</v>
      </c>
      <c r="G6" s="11">
        <f t="shared" ref="G6" si="3">IF(F6="Y",(E6-D6)+(0.5/24),(E6-D6))</f>
        <v>0.10416666666666664</v>
      </c>
      <c r="H6" s="15">
        <f>IF(C6="small",G6*24*'Staging Jobs'!$AN$2,G6*24*'Staging Jobs'!$AO$2)</f>
        <v>274.99999999999994</v>
      </c>
      <c r="I6" s="15">
        <f t="shared" ref="I6" si="4">H6/11</f>
        <v>24.999999999999996</v>
      </c>
      <c r="J6" s="10" t="s">
        <v>115</v>
      </c>
      <c r="K6" s="25"/>
    </row>
    <row r="7" spans="1:12" s="20" customFormat="1">
      <c r="A7" s="39">
        <v>45914</v>
      </c>
      <c r="B7" s="1" t="str">
        <f t="shared" si="0"/>
        <v>Sep</v>
      </c>
      <c r="C7" s="20" t="s">
        <v>117</v>
      </c>
      <c r="D7" s="10">
        <v>0.41666666666666669</v>
      </c>
      <c r="E7" s="10">
        <v>0.45833333333333331</v>
      </c>
      <c r="F7" s="10"/>
      <c r="G7" s="11">
        <f t="shared" si="1"/>
        <v>4.166666666666663E-2</v>
      </c>
      <c r="H7" s="15">
        <v>70</v>
      </c>
      <c r="I7" s="15">
        <f t="shared" si="2"/>
        <v>6.3636363636363633</v>
      </c>
      <c r="J7" s="10" t="s">
        <v>115</v>
      </c>
      <c r="K7" s="25"/>
      <c r="L7" s="20" t="s">
        <v>152</v>
      </c>
    </row>
    <row r="8" spans="1:12" s="20" customFormat="1">
      <c r="A8" s="39">
        <v>45921</v>
      </c>
      <c r="B8" s="1" t="str">
        <f t="shared" si="0"/>
        <v>Sep</v>
      </c>
      <c r="C8" s="20" t="s">
        <v>117</v>
      </c>
      <c r="D8" s="10">
        <v>0.70833333333333337</v>
      </c>
      <c r="E8" s="10">
        <v>0.79166666666666663</v>
      </c>
      <c r="F8" s="10" t="s">
        <v>115</v>
      </c>
      <c r="G8" s="11">
        <f t="shared" ref="G8" si="5">IF(F8="Y",(E8-D8)+(0.5/24),(E8-D8))</f>
        <v>0.10416666666666659</v>
      </c>
      <c r="H8" s="15">
        <f>IF(C8="small",G8*24*'Staging Jobs'!$AN$2,G8*24*'Staging Jobs'!$AO$2)</f>
        <v>274.99999999999983</v>
      </c>
      <c r="I8" s="15">
        <f t="shared" si="2"/>
        <v>24.999999999999986</v>
      </c>
      <c r="J8" s="10" t="s">
        <v>115</v>
      </c>
      <c r="K8" s="25"/>
      <c r="L8" s="20" t="s">
        <v>153</v>
      </c>
    </row>
    <row r="9" spans="1:12">
      <c r="A9" s="38">
        <v>45923</v>
      </c>
      <c r="B9" s="1" t="str">
        <f t="shared" si="0"/>
        <v>Sep</v>
      </c>
      <c r="C9" s="20" t="s">
        <v>117</v>
      </c>
      <c r="D9" s="10">
        <v>0.375</v>
      </c>
      <c r="E9" s="10">
        <v>0.5</v>
      </c>
      <c r="F9" s="10" t="s">
        <v>115</v>
      </c>
      <c r="G9" s="11">
        <f t="shared" si="1"/>
        <v>0.14583333333333334</v>
      </c>
      <c r="H9" s="15">
        <f>IF(C9="small",G9*24*'Staging Jobs'!$AN$2,G9*24*'Staging Jobs'!$AO$2)</f>
        <v>385</v>
      </c>
      <c r="I9" s="15">
        <f t="shared" si="2"/>
        <v>35</v>
      </c>
      <c r="J9" s="10" t="s">
        <v>115</v>
      </c>
      <c r="K9" s="25"/>
      <c r="L9" t="s">
        <v>154</v>
      </c>
    </row>
    <row r="10" spans="1:12">
      <c r="A10" s="38">
        <v>45962</v>
      </c>
      <c r="B10" s="1" t="str">
        <f t="shared" si="0"/>
        <v>Nov</v>
      </c>
      <c r="C10" s="20" t="s">
        <v>117</v>
      </c>
      <c r="D10" s="10">
        <v>0.41666666666666669</v>
      </c>
      <c r="E10" s="10">
        <v>0.52083333333333337</v>
      </c>
      <c r="F10" s="10" t="s">
        <v>115</v>
      </c>
      <c r="G10" s="11">
        <f t="shared" si="1"/>
        <v>0.12500000000000003</v>
      </c>
      <c r="H10" s="15">
        <f>IF(C10="small",G10*24*'Staging Jobs'!$AN$2,G10*24*'Staging Jobs'!$AO$2)</f>
        <v>330.00000000000011</v>
      </c>
      <c r="I10" s="15">
        <f t="shared" si="2"/>
        <v>30.000000000000011</v>
      </c>
      <c r="J10" s="10"/>
      <c r="K10" s="25"/>
    </row>
    <row r="11" spans="1:12">
      <c r="B11" s="1" t="str">
        <f t="shared" si="0"/>
        <v>Jan</v>
      </c>
      <c r="C11" s="20"/>
      <c r="D11" s="10"/>
      <c r="E11" s="10"/>
      <c r="F11" s="10"/>
      <c r="G11" s="11">
        <f t="shared" si="1"/>
        <v>0</v>
      </c>
      <c r="H11" s="15">
        <f>IF(C11="small",G11*24*'Staging Jobs'!$AN$2,G11*24*'Staging Jobs'!$AO$2)</f>
        <v>0</v>
      </c>
      <c r="I11" s="15">
        <f t="shared" si="2"/>
        <v>0</v>
      </c>
      <c r="J11" s="10"/>
      <c r="K11" s="25"/>
    </row>
    <row r="12" spans="1:12">
      <c r="B12" s="1" t="str">
        <f t="shared" si="0"/>
        <v>Jan</v>
      </c>
      <c r="C12" s="20"/>
      <c r="D12" s="10"/>
      <c r="E12" s="10"/>
      <c r="F12" s="10"/>
      <c r="G12" s="11">
        <f t="shared" si="1"/>
        <v>0</v>
      </c>
      <c r="H12" s="15">
        <f>IF(C12="small",G12*24*'Staging Jobs'!$AN$2,G12*24*'Staging Jobs'!$AO$2)</f>
        <v>0</v>
      </c>
      <c r="I12" s="15">
        <f t="shared" si="2"/>
        <v>0</v>
      </c>
      <c r="J12" s="10"/>
      <c r="K12" s="25"/>
    </row>
    <row r="13" spans="1:12">
      <c r="B13" s="1" t="str">
        <f t="shared" si="0"/>
        <v>Jan</v>
      </c>
      <c r="C13" s="20"/>
      <c r="D13" s="10"/>
      <c r="E13" s="10"/>
      <c r="F13" s="10"/>
      <c r="G13" s="11">
        <f t="shared" si="1"/>
        <v>0</v>
      </c>
      <c r="H13" s="15">
        <f>IF(C13="small",G13*24*'Staging Jobs'!$AN$2,G13*24*'Staging Jobs'!$AO$2)</f>
        <v>0</v>
      </c>
      <c r="I13" s="15">
        <f t="shared" si="2"/>
        <v>0</v>
      </c>
      <c r="J13" s="10"/>
      <c r="K13" s="25"/>
    </row>
    <row r="14" spans="1:12">
      <c r="B14" s="1" t="str">
        <f t="shared" si="0"/>
        <v>Jan</v>
      </c>
      <c r="C14" s="20"/>
      <c r="D14" s="10"/>
      <c r="E14" s="10"/>
      <c r="F14" s="10"/>
      <c r="G14" s="11">
        <f t="shared" si="1"/>
        <v>0</v>
      </c>
      <c r="H14" s="15">
        <f>IF(C14="small",G14*24*'Staging Jobs'!$AN$2,G14*24*'Staging Jobs'!$AO$2)</f>
        <v>0</v>
      </c>
      <c r="I14" s="15">
        <f t="shared" si="2"/>
        <v>0</v>
      </c>
      <c r="J14" s="10"/>
      <c r="K14" s="25"/>
    </row>
    <row r="15" spans="1:12">
      <c r="B15" s="1"/>
      <c r="C15" s="1"/>
      <c r="H15" s="15"/>
      <c r="I15" s="15"/>
    </row>
    <row r="16" spans="1:12">
      <c r="B16" s="1"/>
      <c r="C16" s="1"/>
      <c r="H16" s="15"/>
      <c r="I16" s="15"/>
    </row>
    <row r="17" spans="2:9">
      <c r="B17" s="1"/>
      <c r="C17" s="1"/>
      <c r="H17" s="15"/>
      <c r="I17" s="15"/>
    </row>
    <row r="18" spans="2:9">
      <c r="B18" s="1"/>
      <c r="C18" s="1"/>
      <c r="H18" s="15"/>
      <c r="I18" s="15"/>
    </row>
    <row r="19" spans="2:9">
      <c r="B19" s="1"/>
      <c r="C19" s="1"/>
      <c r="H19" s="15"/>
      <c r="I19" s="15"/>
    </row>
    <row r="20" spans="2:9">
      <c r="B20" s="1"/>
      <c r="C20" s="1"/>
      <c r="H20" s="15"/>
      <c r="I20" s="15"/>
    </row>
    <row r="21" spans="2:9">
      <c r="B21" s="1"/>
      <c r="C21" s="1"/>
      <c r="H21" s="15"/>
      <c r="I21" s="15"/>
    </row>
    <row r="22" spans="2:9">
      <c r="B22" s="1"/>
      <c r="C22" s="1"/>
      <c r="H22" s="15"/>
      <c r="I22" s="15"/>
    </row>
    <row r="23" spans="2:9">
      <c r="B23" s="1"/>
      <c r="C23" s="1"/>
      <c r="H23" s="15"/>
      <c r="I23" s="15"/>
    </row>
    <row r="24" spans="2:9">
      <c r="H24" s="15"/>
      <c r="I24" s="1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Devarajulu</dc:creator>
  <cp:keywords/>
  <dc:description/>
  <cp:lastModifiedBy>Manoj Devarajulu</cp:lastModifiedBy>
  <cp:revision/>
  <dcterms:created xsi:type="dcterms:W3CDTF">2015-06-05T18:17:20Z</dcterms:created>
  <dcterms:modified xsi:type="dcterms:W3CDTF">2025-11-04T12:01:12Z</dcterms:modified>
  <cp:category/>
  <cp:contentStatus/>
</cp:coreProperties>
</file>